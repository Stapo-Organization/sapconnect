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 Shipments - PPTCO" sheetId="1" r:id="rId5"/>
  </sheets>
  <definedNames>
    <definedName hidden="1" localSheetId="0" name="_xlnm._FilterDatabase">'Tracking Shipments - PPTCO'!$A$1:$AK$1010</definedName>
    <definedName hidden="1" localSheetId="0" name="Z_071260A2_FCB6_4EFA_85B1_883DE6855503_.wvu.FilterData">'Tracking Shipments - PPTCO'!$B$1:$AH$1010</definedName>
    <definedName hidden="1" localSheetId="0" name="Z_B21E7D45_C2F2_4ED9_A4FA_1FC2C4DF56BF_.wvu.FilterData">'Tracking Shipments - PPTCO'!$B$1:$AH$519</definedName>
    <definedName hidden="1" localSheetId="0" name="Z_86CBC146_CBDC_459C_A0F4_0BCDD6ACFA63_.wvu.FilterData">'Tracking Shipments - PPTCO'!$B$1:$AH$519</definedName>
  </definedNames>
  <calcPr/>
  <customWorkbookViews>
    <customWorkbookView activeSheetId="0" maximized="1" windowHeight="0" windowWidth="0" guid="{B21E7D45-C2F2-4ED9-A4FA-1FC2C4DF56BF}" name="Filter 2"/>
    <customWorkbookView activeSheetId="0" maximized="1" windowHeight="0" windowWidth="0" guid="{86CBC146-CBDC-459C-A0F4-0BCDD6ACFA63}" name="Filter 3"/>
    <customWorkbookView activeSheetId="0" maximized="1" windowHeight="0" windowWidth="0" guid="{071260A2-FCB6-4EFA-85B1-883DE6855503}" name="Filter 1"/>
  </customWorkbookViews>
</workbook>
</file>

<file path=xl/sharedStrings.xml><?xml version="1.0" encoding="utf-8"?>
<sst xmlns="http://schemas.openxmlformats.org/spreadsheetml/2006/main" count="9559" uniqueCount="2873">
  <si>
    <t>#</t>
  </si>
  <si>
    <t>ETD</t>
  </si>
  <si>
    <t>ETA</t>
  </si>
  <si>
    <t>Arriving in</t>
  </si>
  <si>
    <t>Order Current Status وضع الطلب</t>
  </si>
  <si>
    <t>FREIGHT 
INVOICE</t>
  </si>
  <si>
    <t>FREIGHT AMOUNT</t>
  </si>
  <si>
    <t>STORAGE LOCATION</t>
  </si>
  <si>
    <t>No Of Containers</t>
  </si>
  <si>
    <t>Pallets</t>
  </si>
  <si>
    <t>Received 
 Dated تاريخ الإستلام</t>
  </si>
  <si>
    <t>Supplier المورد</t>
  </si>
  <si>
    <t>Order Description شرح الطلبية</t>
  </si>
  <si>
    <t>Order number رقم الطلب</t>
  </si>
  <si>
    <t>PO No</t>
  </si>
  <si>
    <t>CUSTOMS 
 MANIFEST NUMBER رقم البيان</t>
  </si>
  <si>
    <t>Country البلد</t>
  </si>
  <si>
    <t>Origin المنشأ</t>
  </si>
  <si>
    <t xml:space="preserve">FREIGHT AMOUNT 
PER CONTAINER </t>
  </si>
  <si>
    <t xml:space="preserve">Total Cost SAR </t>
  </si>
  <si>
    <t>Container No رقم الحاوية</t>
  </si>
  <si>
    <t>BOL 
 MBL/MAWB</t>
  </si>
  <si>
    <t>BOL  البوليصة
 HBL /AWB</t>
  </si>
  <si>
    <t>Mode of Transport</t>
  </si>
  <si>
    <t>Size of Container</t>
  </si>
  <si>
    <t>Shipment Terms</t>
  </si>
  <si>
    <t>Type of Container</t>
  </si>
  <si>
    <t>Forwarder</t>
  </si>
  <si>
    <t>BROKER</t>
  </si>
  <si>
    <t>CLEARANCE 
INVOICE</t>
  </si>
  <si>
    <t>CLEARANCE AMOUNT</t>
  </si>
  <si>
    <t>Remarks</t>
  </si>
  <si>
    <t>Notes</t>
  </si>
  <si>
    <t>announced</t>
  </si>
  <si>
    <t>Brands</t>
  </si>
  <si>
    <t>Range (series)</t>
  </si>
  <si>
    <t>Brand Logo</t>
  </si>
  <si>
    <t>RECEIVED AT PPTCO</t>
  </si>
  <si>
    <t>KIT CAT</t>
  </si>
  <si>
    <t>TUNA WITH-400G</t>
  </si>
  <si>
    <t>KCIT220017A</t>
  </si>
  <si>
    <t>KC 400G</t>
  </si>
  <si>
    <t>THAILAND</t>
  </si>
  <si>
    <t>SONGKHLA</t>
  </si>
  <si>
    <t>FFAU3779746</t>
  </si>
  <si>
    <t>MEDUTY730706</t>
  </si>
  <si>
    <t>A2209311634</t>
  </si>
  <si>
    <t>OCEAN</t>
  </si>
  <si>
    <t>40'</t>
  </si>
  <si>
    <t>FOB</t>
  </si>
  <si>
    <t>FOOD CONTAINER</t>
  </si>
  <si>
    <t>KERRY LOGISTICS</t>
  </si>
  <si>
    <t>YES</t>
  </si>
  <si>
    <t>ZOLUX</t>
  </si>
  <si>
    <t>PET COMFORT ITEMS</t>
  </si>
  <si>
    <t>OC-2654</t>
  </si>
  <si>
    <t>PO3572</t>
  </si>
  <si>
    <t>TUNISIA</t>
  </si>
  <si>
    <t>BIZERTE</t>
  </si>
  <si>
    <t>TEMU6164455</t>
  </si>
  <si>
    <t>MEDUTU264312</t>
  </si>
  <si>
    <t>FCA</t>
  </si>
  <si>
    <t>HQ CONTAINER</t>
  </si>
  <si>
    <t>Bayan Sent email</t>
  </si>
  <si>
    <t>PREVUE PET PRODUCTS</t>
  </si>
  <si>
    <t>STAINLESS STEEL CAGE</t>
  </si>
  <si>
    <t>N/A</t>
  </si>
  <si>
    <t>CHINA</t>
  </si>
  <si>
    <t>SHENZHEN</t>
  </si>
  <si>
    <t>CAIU4453389</t>
  </si>
  <si>
    <t>SZPA07097100</t>
  </si>
  <si>
    <t>WLC20917509</t>
  </si>
  <si>
    <t>STANDARD</t>
  </si>
  <si>
    <t>ALZAFER</t>
  </si>
  <si>
    <t>KCIT220017B</t>
  </si>
  <si>
    <t>FSCU8966812,MSMU5987980,
 MSMU6035335,TCNU1925567</t>
  </si>
  <si>
    <t>MEDUTY771627</t>
  </si>
  <si>
    <t>A2210310261</t>
  </si>
  <si>
    <t>MPS-SRL</t>
  </si>
  <si>
    <t>PRATIKO 1 PLASTIC (CAGE)</t>
  </si>
  <si>
    <t>ITALY</t>
  </si>
  <si>
    <t>VENICE</t>
  </si>
  <si>
    <t>MEDU7944427</t>
  </si>
  <si>
    <t>MEDULK991106</t>
  </si>
  <si>
    <t>4969822A</t>
  </si>
  <si>
    <t>CLEARANCE BY INTAJ</t>
  </si>
  <si>
    <t>WHITEBRIDGE /SCHESIR</t>
  </si>
  <si>
    <t>CAT FOOD 85G</t>
  </si>
  <si>
    <t>SAMPLES</t>
  </si>
  <si>
    <t>GENOVA</t>
  </si>
  <si>
    <t>AIR</t>
  </si>
  <si>
    <t>PALLET</t>
  </si>
  <si>
    <t>CIF</t>
  </si>
  <si>
    <t>DHL</t>
  </si>
  <si>
    <t>SFDA CETIFICATES SUBMITTED TO DHL FOR CLEARANCE</t>
  </si>
  <si>
    <t>INABA</t>
  </si>
  <si>
    <t>CHICKEN WITH TUNA RECIPE</t>
  </si>
  <si>
    <t>INK202211030-004AIR</t>
  </si>
  <si>
    <t>SA009</t>
  </si>
  <si>
    <t>SARRABURI</t>
  </si>
  <si>
    <t>065-47712092</t>
  </si>
  <si>
    <t>AKE73630SV</t>
  </si>
  <si>
    <t>EX-WORKS</t>
  </si>
  <si>
    <t>Kit Cat Dry Food &amp; KittyCrunch</t>
  </si>
  <si>
    <t>KCIT220274</t>
  </si>
  <si>
    <t>LAEM CHABANG</t>
  </si>
  <si>
    <t>FFAU2960533, MSDU5430895, TRHU8393794</t>
  </si>
  <si>
    <t>MEDUTY824392</t>
  </si>
  <si>
    <t>A2210311383</t>
  </si>
  <si>
    <t>CLASSIC CLUMP-10L</t>
  </si>
  <si>
    <t>KCIT220275</t>
  </si>
  <si>
    <t>QINGDAO</t>
  </si>
  <si>
    <t>GCXU5482818</t>
  </si>
  <si>
    <t xml:space="preserve">COSU6888746150
</t>
  </si>
  <si>
    <t>ARCH LOGISTICS</t>
  </si>
  <si>
    <t>KCIT220133B</t>
  </si>
  <si>
    <t>TIANJIN</t>
  </si>
  <si>
    <t>MSMU2129966, MSMU2127475, 
 MSMU2127644</t>
  </si>
  <si>
    <t>MEDUV132532</t>
  </si>
  <si>
    <t>WLC20806744</t>
  </si>
  <si>
    <t>20'</t>
  </si>
  <si>
    <t>RODYWOOD NATURE LITTER</t>
  </si>
  <si>
    <t>OC-2655</t>
  </si>
  <si>
    <t>PO3573</t>
  </si>
  <si>
    <t>MSMU5851843</t>
  </si>
  <si>
    <t>MEDUTU271598</t>
  </si>
  <si>
    <t>NETTA MAXI CLOSE MIX/VOYAGER MEDIUM/BUFFY CAT TOILET</t>
  </si>
  <si>
    <t>OC-2631</t>
  </si>
  <si>
    <t>PO3548</t>
  </si>
  <si>
    <t>FRANCE</t>
  </si>
  <si>
    <t>DAMAZAN</t>
  </si>
  <si>
    <t>MAGU5481310</t>
  </si>
  <si>
    <t>HLCULE12209AOXS8</t>
  </si>
  <si>
    <t>TOILETTE TRES CHIC INDOOR FILTER TORTORA</t>
  </si>
  <si>
    <t>24, 6</t>
  </si>
  <si>
    <t>SEKU4406563, FDCU0487239, KKFU7732059, TEMU8901042</t>
  </si>
  <si>
    <t>GOAC47125400</t>
  </si>
  <si>
    <t>H700719648</t>
  </si>
  <si>
    <t>BAFCO</t>
  </si>
  <si>
    <t xml:space="preserve">CLEARANCE BY INTAJ--DUTY PAID </t>
  </si>
  <si>
    <t xml:space="preserve">STEFANPLAST </t>
  </si>
  <si>
    <t>TUNE WITH-80G</t>
  </si>
  <si>
    <t>CLHU8134230, MSDU8880290, TLLU7523822, BMOU6568406</t>
  </si>
  <si>
    <t>MEDUIQ075448</t>
  </si>
  <si>
    <t xml:space="preserve">DUTY PAID </t>
  </si>
  <si>
    <t>VERSELE LAGA</t>
  </si>
  <si>
    <t>CAT JOINT CARE CUP 6X75g</t>
  </si>
  <si>
    <t>2219974, 2219975, 2219976</t>
  </si>
  <si>
    <t xml:space="preserve">BELGIUM </t>
  </si>
  <si>
    <t xml:space="preserve">ANTWERP </t>
  </si>
  <si>
    <t>MSMU8787352, MSMU5416743, MSDU8582422</t>
  </si>
  <si>
    <t>MEDUAV486983</t>
  </si>
  <si>
    <t>MEDITERRANEAN SHIPPING COMPANY</t>
  </si>
  <si>
    <t>BUDGIES 20KG, PARROT MEGA FRUIT</t>
  </si>
  <si>
    <t>KCIT220195</t>
  </si>
  <si>
    <t>PONU2065198</t>
  </si>
  <si>
    <t>MAEU222093358</t>
  </si>
  <si>
    <t>BUTCHERS</t>
  </si>
  <si>
    <t>BIO SAND CAT LITTER</t>
  </si>
  <si>
    <t>FS/22/10/0001/EX,
 FS/22/10/0002/EX</t>
  </si>
  <si>
    <t>POLAND</t>
  </si>
  <si>
    <t>SZCZECIN</t>
  </si>
  <si>
    <t>MSKU0884890, APMU8047173</t>
  </si>
  <si>
    <t>MAEU222037311</t>
  </si>
  <si>
    <t xml:space="preserve">DC CONTAINER </t>
  </si>
  <si>
    <t>SUPPLIER</t>
  </si>
  <si>
    <t>SUPPLIER PAYMENT DONE ON 5-DEC-22, ORIGINAL DOCUMENTS YET 
TO RECEIVE</t>
  </si>
  <si>
    <t>DALBAHI</t>
  </si>
  <si>
    <t>SANAL/NEDARMA</t>
  </si>
  <si>
    <t>N&amp;H CHICKEN/RICE PATE 390g, BEEF/RICE 390g</t>
  </si>
  <si>
    <t>PPT-21</t>
  </si>
  <si>
    <t>NETHERLAND</t>
  </si>
  <si>
    <t>NIGMEGEN</t>
  </si>
  <si>
    <t>065-41280245</t>
  </si>
  <si>
    <t>SHIPMENT CLEARANCE BY INTAJ</t>
  </si>
  <si>
    <t>INTAJ</t>
  </si>
  <si>
    <t>BIRDCAGE2/BIRDCAGE3</t>
  </si>
  <si>
    <t>25198/25199</t>
  </si>
  <si>
    <t xml:space="preserve">YANTIAN </t>
  </si>
  <si>
    <t>OOLU8916804, UETU5754875</t>
  </si>
  <si>
    <t>SELIM</t>
  </si>
  <si>
    <t>N&amp;H CHICKEN/RICE PATE 390g, BEEF/RICE 390g, CHUNKS 400g</t>
  </si>
  <si>
    <t>251, 254, 255</t>
  </si>
  <si>
    <t xml:space="preserve">TRISSINO </t>
  </si>
  <si>
    <t>MRKU9860809, MSKU5769328, TCLU2961746</t>
  </si>
  <si>
    <t xml:space="preserve">MAEU222541217
</t>
  </si>
  <si>
    <t>CAT FURNITURE</t>
  </si>
  <si>
    <t>25189/2648694</t>
  </si>
  <si>
    <t>CONTAINER5</t>
  </si>
  <si>
    <t>NINGBO</t>
  </si>
  <si>
    <t>FCIU8596658</t>
  </si>
  <si>
    <t>MEDUO3580158</t>
  </si>
  <si>
    <t>CLEARANCE BY DALBAHI--UNLOADED IN RENTED WAREHOUSE</t>
  </si>
  <si>
    <t>KITCAT STICK-15G</t>
  </si>
  <si>
    <t>KCIT220200</t>
  </si>
  <si>
    <t>AUSTRIA</t>
  </si>
  <si>
    <t>KOPER</t>
  </si>
  <si>
    <t>MSKU0396812</t>
  </si>
  <si>
    <t>MAEU221300726</t>
  </si>
  <si>
    <t>NSI/RUH/221300726</t>
  </si>
  <si>
    <t xml:space="preserve">CLEARANCE BY DALBAHI </t>
  </si>
  <si>
    <t>N&amp;H C BEEF CHUNKS IN JELLY 24X400g</t>
  </si>
  <si>
    <t>FS/22/10/0003/EX</t>
  </si>
  <si>
    <t>MRKU3199522</t>
  </si>
  <si>
    <t xml:space="preserve">SHIPMENT ARRIVED--NEED TO PAY SUPPLIER </t>
  </si>
  <si>
    <t>FS/22/10/0004/EX</t>
  </si>
  <si>
    <t>TCNU2857410</t>
  </si>
  <si>
    <t>NEED TO PAY SUPPLIER FOR SHIPMENT DOCUMENTS</t>
  </si>
  <si>
    <t>OC-2711</t>
  </si>
  <si>
    <t>TCLU5756160</t>
  </si>
  <si>
    <t>MEDULX651531</t>
  </si>
  <si>
    <t xml:space="preserve">KERRY LOGISTICS </t>
  </si>
  <si>
    <t>UNLOADED IN RENTED WAREHOUSE</t>
  </si>
  <si>
    <t>TIKI CAT STIX CHICKEN / SALMON MOUSSE</t>
  </si>
  <si>
    <t>FS/22/10/0005/EX</t>
  </si>
  <si>
    <t>TCLU1737705</t>
  </si>
  <si>
    <t>APPLAWS CAT DRY 3X(1X2kg) ADULT CHICKEN</t>
  </si>
  <si>
    <t>MSDU1507134</t>
  </si>
  <si>
    <t>A2211311604</t>
  </si>
  <si>
    <t>MEDUTY907577</t>
  </si>
  <si>
    <t>SCHESIR Cat Pouch Broth 20x70g</t>
  </si>
  <si>
    <t>PO8042022-4</t>
  </si>
  <si>
    <t>CSNU6739127</t>
  </si>
  <si>
    <t xml:space="preserve">OOLU2710301336 </t>
  </si>
  <si>
    <t xml:space="preserve">documents received through email </t>
  </si>
  <si>
    <t>SCHESIR Cat Can Jelly 56x85g</t>
  </si>
  <si>
    <t>PO8042022-3</t>
  </si>
  <si>
    <t>FCIU7395073</t>
  </si>
  <si>
    <t xml:space="preserve">OOLU2710301337 </t>
  </si>
  <si>
    <t>SCHESIR Cat Multipack Can 8X6X50gr</t>
  </si>
  <si>
    <t>PO8042022-1</t>
  </si>
  <si>
    <t>OOLU9963924</t>
  </si>
  <si>
    <t>OOLU2710301330</t>
  </si>
  <si>
    <t>SCHESIR Dog Can Jelly 40x150g</t>
  </si>
  <si>
    <t>PO8042022-5</t>
  </si>
  <si>
    <t>TEMU7105035</t>
  </si>
  <si>
    <t xml:space="preserve">OOLU2710301338 </t>
  </si>
  <si>
    <t>SCHESIR Cat Can Jelly 56x85 gr</t>
  </si>
  <si>
    <t>PO8042022-2</t>
  </si>
  <si>
    <t>SEGU6829873</t>
  </si>
  <si>
    <t>OOLU2710301339</t>
  </si>
  <si>
    <t>SUPPLIER NEED TO PROVIDE DOCUMENTS FOR CLEARANCE</t>
  </si>
  <si>
    <t>MANNAPRO-
COMPANA</t>
  </si>
  <si>
    <t>ZP FRUITBLEND/ZP NATURAL/ZP NUTBLEND</t>
  </si>
  <si>
    <t>80453893, 80465308, 80465309</t>
  </si>
  <si>
    <t>PO-8812, 8869, 8871</t>
  </si>
  <si>
    <t xml:space="preserve">USA </t>
  </si>
  <si>
    <t>SHAWNEE</t>
  </si>
  <si>
    <t>FFAU3825224, MSDU8761583, TGBU6674530</t>
  </si>
  <si>
    <t>MEDUD6750977</t>
  </si>
  <si>
    <t>MPM</t>
  </si>
  <si>
    <r>
      <rPr>
        <rFont val="Arial"/>
        <color theme="1"/>
      </rPr>
      <t>ALIM CANARI N MEAL3 800gr "</t>
    </r>
    <r>
      <rPr>
        <rFont val="Arial"/>
        <b/>
        <color theme="1"/>
        <sz val="11.0"/>
      </rPr>
      <t>CHECK QUALITY</t>
    </r>
  </si>
  <si>
    <t>233626 TO 233633</t>
  </si>
  <si>
    <t>PPT-03</t>
  </si>
  <si>
    <t>GHENT</t>
  </si>
  <si>
    <t>TEMU6835229, TCKU6028048, TCNU8846140,
FDCU0135921, SEGU6890889, HLBU1706085,
HAMU1175306, FANU1249632</t>
  </si>
  <si>
    <t>HLCUANR221169271</t>
  </si>
  <si>
    <t>BDP</t>
  </si>
  <si>
    <t>N&amp;H CHICKEN/RICE PATE 390g, BEEF/RICE 390g, CHUNKS 400g, N&amp;H C BEEF CHUNKS IN JELLY 24X400g, DOG JUNIOR CHICKEN 400g</t>
  </si>
  <si>
    <t>2 (INVOICE-1127)</t>
  </si>
  <si>
    <t>FCIU7631440</t>
  </si>
  <si>
    <t>HLCUGOA2211AXAF1</t>
  </si>
  <si>
    <t xml:space="preserve">documents submitted for clearance </t>
  </si>
  <si>
    <t>CIOTOLA DOPPIA/JOY CAT TOILET</t>
  </si>
  <si>
    <t>OC-2638 &amp; OC-2639</t>
  </si>
  <si>
    <t>HLBU1545571, FANU1570920</t>
  </si>
  <si>
    <t>HLCULE1221190797</t>
  </si>
  <si>
    <t>FS/22/10/0006/EX,
FS/22/10/0007/EX</t>
  </si>
  <si>
    <t>CAIU4823781, MRSU6283584</t>
  </si>
  <si>
    <t>MAEU222999897</t>
  </si>
  <si>
    <t>JOSERA</t>
  </si>
  <si>
    <t>MINI DELUXE 15KG/HELP GASTO 6X2KG, MINI DELUXE 5X900G,8X400G,6X2KG
POULTRY MENU 15KG, 5X900G,18KG,15KG, JOSIDOG 15KG, 18KG
POULTRY &amp; TROUT 64X90G,32X60G,18KG, JOSIDOG 5X900G,7X650G</t>
  </si>
  <si>
    <t>301242757, 301245553, 301245554, 301245562, 301245581, 301265301</t>
  </si>
  <si>
    <t>0622 / 0722</t>
  </si>
  <si>
    <t>GERMANY</t>
  </si>
  <si>
    <t>KLEINHEUBACH</t>
  </si>
  <si>
    <t>OOCU8653471, TGBU8939618, CSNU6541260, TEMU6053723, BSIU9440179, SEKU4587230</t>
  </si>
  <si>
    <t>COSU6346225300</t>
  </si>
  <si>
    <t>KIT CAT PURR PUREE CHICKN &amp; FIBER 4x15g</t>
  </si>
  <si>
    <t>KCIT220235</t>
  </si>
  <si>
    <t>EISU8336666, TGBU4004205</t>
  </si>
  <si>
    <t>RUH22A12004</t>
  </si>
  <si>
    <t>LIFE AQUA CYLINDER AQUARIUM</t>
  </si>
  <si>
    <t>OC-2577</t>
  </si>
  <si>
    <t xml:space="preserve">PORTUGAL </t>
  </si>
  <si>
    <t xml:space="preserve">MARTINGANCA </t>
  </si>
  <si>
    <t>FFAU2453483</t>
  </si>
  <si>
    <t>COSU6348227890</t>
  </si>
  <si>
    <t xml:space="preserve">TELEX BOL--SEA WAYBILL RECEIVED </t>
  </si>
  <si>
    <t xml:space="preserve">DALBAHI </t>
  </si>
  <si>
    <t>DRY KITTEN TURKEY 8X350G</t>
  </si>
  <si>
    <t>901764, 901754, 901755, 901765</t>
  </si>
  <si>
    <t>TCKU6135154, TGBU4878324, TRHU4329550, OOCU7755864</t>
  </si>
  <si>
    <t>OOLU4053558100</t>
  </si>
  <si>
    <t xml:space="preserve">SUPPLIER </t>
  </si>
  <si>
    <t xml:space="preserve">SUPPLIER NEED TO PROVIDE SHIPMENT DOCUMENTS AND DETAILS </t>
  </si>
  <si>
    <t>CHICKEN WINGS 100G, 
CHEWING STICK WITH CHICKEN X10</t>
  </si>
  <si>
    <t>SAINTES</t>
  </si>
  <si>
    <t>1 PALLET</t>
  </si>
  <si>
    <t>125-52850206</t>
  </si>
  <si>
    <t xml:space="preserve">F.F DETAILS PROVIDED TO SHIPPER--CUSTOMS DUTY PAID BY INTAJ </t>
  </si>
  <si>
    <t>KIT CAT GRAVY SERIES CHICKEN 70g</t>
  </si>
  <si>
    <t>KCIT220144</t>
  </si>
  <si>
    <t>MSKU8752360</t>
  </si>
  <si>
    <t>MAEU223506559</t>
  </si>
  <si>
    <t>SHIPPER INSTRUCTED TO POSTPONE THE SHIPMENT TO 14.NOV.2022--shipper posponed the shipment to 3rd Dec 2022</t>
  </si>
  <si>
    <t>PUPPY ABSORB MAT 40X60CM X30</t>
  </si>
  <si>
    <t>OC-2736</t>
  </si>
  <si>
    <t>FCIU7019163</t>
  </si>
  <si>
    <t>177GSESEQ6491V</t>
  </si>
  <si>
    <t xml:space="preserve">CONTAINER BOOKED </t>
  </si>
  <si>
    <t>KIT CAT DEBONED CHICKEN 80g</t>
  </si>
  <si>
    <t>KCIT220310</t>
  </si>
  <si>
    <t>PPT-02</t>
  </si>
  <si>
    <t>MSKU0589642, MSKU9019044</t>
  </si>
  <si>
    <t>MAEU223562681</t>
  </si>
  <si>
    <t>KIT CAT PURR PUREE CHICKEN 4X15g  &amp; 600g</t>
  </si>
  <si>
    <t>KCIT220024 &amp; KCIT220025</t>
  </si>
  <si>
    <t>UACU5354447, BMOU4530700, TCNU8599040</t>
  </si>
  <si>
    <t>HLCUBKK221138538</t>
  </si>
  <si>
    <t xml:space="preserve">NEED TO PAY THE DUTY </t>
  </si>
  <si>
    <t>KIT CAT PREMIUM CAT FOOD 1.2 KG</t>
  </si>
  <si>
    <t>KCIT220344</t>
  </si>
  <si>
    <t>PPT-12</t>
  </si>
  <si>
    <t>EITU1031442</t>
  </si>
  <si>
    <t>RUH22A12029</t>
  </si>
  <si>
    <t xml:space="preserve">NEED TO BOOK CONTAINER </t>
  </si>
  <si>
    <t>CAT CHEESE BITES CUP 6X75g</t>
  </si>
  <si>
    <t>PPT-17</t>
  </si>
  <si>
    <t>FCIU6296585</t>
  </si>
  <si>
    <t>HLCURTM221234138</t>
  </si>
  <si>
    <t xml:space="preserve">CHURU TUNA RECIPE </t>
  </si>
  <si>
    <t>INK202211030-003-01
INK202211030-003</t>
  </si>
  <si>
    <t>SA008</t>
  </si>
  <si>
    <t xml:space="preserve">BANGKOK </t>
  </si>
  <si>
    <t>EGHU9118614, EGHU9227087, EITU1981574, TGBU6779207</t>
  </si>
  <si>
    <t>RUH22A12027</t>
  </si>
  <si>
    <t xml:space="preserve">CONTAINER BOOKED--PAYMENT NEED TO BE MADE TO SUPPLIER </t>
  </si>
  <si>
    <t>311, 312, 313</t>
  </si>
  <si>
    <t>CAIU6690610, CAIU6819714, CAIU2258845</t>
  </si>
  <si>
    <t>HLCUGOA221253690</t>
  </si>
  <si>
    <t>2X20' &amp; 1X40'</t>
  </si>
  <si>
    <t>CONTAINERS BOOKED</t>
  </si>
  <si>
    <t>Applaws Cat Tin 1x(24x70g) Kitten Chicken</t>
  </si>
  <si>
    <t>22667, 22668</t>
  </si>
  <si>
    <t>CULU6096768</t>
  </si>
  <si>
    <t>CULVLKB2202092</t>
  </si>
  <si>
    <t>Applaws Cat Tin 1x(24x70g) Chicken
Breast with Cheese</t>
  </si>
  <si>
    <t>FFAU4245848</t>
  </si>
  <si>
    <t>CULVLKB2202093</t>
  </si>
  <si>
    <t>KITCAT FD YOUGURT YUMS 10X1G</t>
  </si>
  <si>
    <t>KCIT220282</t>
  </si>
  <si>
    <t>MSCU3905180</t>
  </si>
  <si>
    <t>MEDUUV722191</t>
  </si>
  <si>
    <t>OC-2713</t>
  </si>
  <si>
    <t>TCKU7205322</t>
  </si>
  <si>
    <t>MAEU223514216</t>
  </si>
  <si>
    <t>N&amp;H CHICKEN/RICE PATE 390g,N&amp;H D BEEF/RICE PATE 24X390g, DELICIOUS DINNERS CHICKEN CAT FOOD 400g</t>
  </si>
  <si>
    <t>FF/22/11/0001/EX, FF/22/11/0002/EX, 
FF/22/11/0003/EX</t>
  </si>
  <si>
    <t>MSKU0797332, TRHU4501756, GCXU5735963</t>
  </si>
  <si>
    <t>MAEU223191372</t>
  </si>
  <si>
    <t>ORIGINAL SHIPMENT DOCUMENTS REQUIRED FROM SUPPLIER</t>
  </si>
  <si>
    <t>KIT CAT 400g ATLANTIC TUNA WITH MACKEREL</t>
  </si>
  <si>
    <t>KCIT220348</t>
  </si>
  <si>
    <t>PPT-07</t>
  </si>
  <si>
    <t>MEDU8642247, MSCU5365456, 
MSDU5449735, FFAU1871323</t>
  </si>
  <si>
    <t>A2301310316</t>
  </si>
  <si>
    <t>GOODS WILL BE READY BY END OF DECEMBER--WAITING FOR QUOTE FROM F.F</t>
  </si>
  <si>
    <t>KIT CAT PURRFECT POCKETS 60g</t>
  </si>
  <si>
    <t>KCIT220283</t>
  </si>
  <si>
    <t>SPAIN</t>
  </si>
  <si>
    <t>BARCELONA</t>
  </si>
  <si>
    <t>MRKU6644555</t>
  </si>
  <si>
    <t>002457 / MEP220741</t>
  </si>
  <si>
    <t>FUNCTIONAL DOG JUNIOR CHICKEN 400g
DELICIOUS DINNERS BEEF CAT FOOD 400g</t>
  </si>
  <si>
    <t>FF/22/11/0005/EX, 0006/EX, 0007/EX,
FF/22/12/0001/EX</t>
  </si>
  <si>
    <t>CIPU5031254, MRKU5213390, MRKU3569611,
SEKU4620390</t>
  </si>
  <si>
    <t>MAEU223198281</t>
  </si>
  <si>
    <t>DELICIOUS DINNERS CHICKEN CAT FOOD 400g
CLASSIC SASZETKA MIX SMAKOW 4X100g</t>
  </si>
  <si>
    <t>FF/22/12/0003/EX
FF/22/12/0004/EX</t>
  </si>
  <si>
    <t>MRKU5529011, TCNU5316609</t>
  </si>
  <si>
    <t>MAEU223361225</t>
  </si>
  <si>
    <t>BIRDYCOB NATURE LITTER 5L, 35L
RODYCOB VEGETABLE LITTER 5L, 15L, 50L
ANISAND 2KG, 12KG, CRYSTAL 2KG, 5KG,
EHOP TOY</t>
  </si>
  <si>
    <t xml:space="preserve">OC-1148976, 1148977, 1148979,
1156551, 1156618, 1156788, 
1160376, </t>
  </si>
  <si>
    <t>MSDU5482081</t>
  </si>
  <si>
    <t>FR1225431649</t>
  </si>
  <si>
    <t>MEDULX790438</t>
  </si>
  <si>
    <t>APPLAWS CAT TIN 1X(24X70g) TUNA FILLET</t>
  </si>
  <si>
    <t>22664, 22665, 22932</t>
  </si>
  <si>
    <t>$2150 &amp; $3100</t>
  </si>
  <si>
    <t>TCLU8503057, TGHU6400927, CAIU3842827</t>
  </si>
  <si>
    <t>THD1015613</t>
  </si>
  <si>
    <t>1X20' &amp; 2X40'</t>
  </si>
  <si>
    <t>OC-2656</t>
  </si>
  <si>
    <t>MSMU6243160</t>
  </si>
  <si>
    <t>MEDUTU280912</t>
  </si>
  <si>
    <t>STAINLESS STEEL HOOKED BOWL</t>
  </si>
  <si>
    <t>OC-2742</t>
  </si>
  <si>
    <t xml:space="preserve">INDIA </t>
  </si>
  <si>
    <t>MUMBAI</t>
  </si>
  <si>
    <t>MSKU5971046</t>
  </si>
  <si>
    <t>MAEU224653368</t>
  </si>
  <si>
    <t>FOCUSLINE</t>
  </si>
  <si>
    <t>MY FAMILY</t>
  </si>
  <si>
    <t xml:space="preserve">concerning tags, collars/leashes/harnesses and tags--concerning machines (inclusive of freight charges CFR Riyadh by Forwarding Agent DSV) </t>
  </si>
  <si>
    <t>11149, 11156</t>
  </si>
  <si>
    <t>MILANO</t>
  </si>
  <si>
    <t>FANU1598233</t>
  </si>
  <si>
    <t>TRN0051128</t>
  </si>
  <si>
    <t>SUPPLIER--DVS</t>
  </si>
  <si>
    <t>MAIL SENT TO SUPPLIER FOR SHIPMENT DETAILS--DOCUMENTS SENT THROUGH TNT-699237960</t>
  </si>
  <si>
    <t>SCHESIC DOG CAN JELLY 40X150g CHICKEN FILLETS</t>
  </si>
  <si>
    <t>FSCU8595028</t>
  </si>
  <si>
    <t>SE2212-0925-01A-F</t>
  </si>
  <si>
    <t>ETHICAT CAT TOY LEAVE</t>
  </si>
  <si>
    <t>OC-2731, OC-2733</t>
  </si>
  <si>
    <t>SHANGHAI</t>
  </si>
  <si>
    <t>KOCU5072592, GAOU6184483</t>
  </si>
  <si>
    <t>WLC30112908</t>
  </si>
  <si>
    <t>HDMUSHAZ12583700</t>
  </si>
  <si>
    <t>NMEAL3 L PARAKEET 800G FSC, ALIM CANARI NMEAL3 800GR</t>
  </si>
  <si>
    <t>OC-2692, 2693, 2640, 2641</t>
  </si>
  <si>
    <t>DRYU9870730, BMOU5630719, HLBU2020248, 
FANU1098388</t>
  </si>
  <si>
    <t>HLCULE1230155662</t>
  </si>
  <si>
    <t>1st PICKUP ON 01-FEB-23 AND 2nd PICKUP ON 02-FEB-23</t>
  </si>
  <si>
    <t>Kit Cat Soya Clump Kitten Litter 7L</t>
  </si>
  <si>
    <t>KCIT220342</t>
  </si>
  <si>
    <t>PPT-10</t>
  </si>
  <si>
    <t>DRYU2267365</t>
  </si>
  <si>
    <t>NGBABF23010030</t>
  </si>
  <si>
    <t xml:space="preserve">F.F NEED TO BOOK THE CONTAINER </t>
  </si>
  <si>
    <t xml:space="preserve">RECEIVED AT OFFICE </t>
  </si>
  <si>
    <t>Cat Twin Packs Tuna &amp; Chicken,
Cat Twin Packs Chicken Recipe,
Cat Twin Packs Tuna &amp; Chicken with Scallop</t>
  </si>
  <si>
    <t>NK202301030-001 AIR</t>
  </si>
  <si>
    <t>072 BKK 7181 8935</t>
  </si>
  <si>
    <t>BOX</t>
  </si>
  <si>
    <t>KINTETSU WORLD EXRESS</t>
  </si>
  <si>
    <t xml:space="preserve">WAITING FOR COO FROM SUPPLIER </t>
  </si>
  <si>
    <t>SCHESIR KITTEN CAN MOUSSE 3-12</t>
  </si>
  <si>
    <t>UETU2128409</t>
  </si>
  <si>
    <t>OOLU2711868519</t>
  </si>
  <si>
    <t>PLP ARA PARR.EXPERT 15KG, PP CANARY EXPERT 20KG</t>
  </si>
  <si>
    <t>2300098, 2300127, 2300128,
2300103, 2300099, 2300105, 
2300104, 2300060</t>
  </si>
  <si>
    <r>
      <rPr>
        <rFont val="Arial"/>
        <color theme="1"/>
      </rPr>
      <t>MSDU6188678,</t>
    </r>
    <r>
      <rPr>
        <rFont val="Arial"/>
        <color theme="1"/>
      </rPr>
      <t xml:space="preserve"> </t>
    </r>
    <r>
      <rPr>
        <rFont val="Arial"/>
        <color theme="1"/>
      </rPr>
      <t>FFAU3742449,</t>
    </r>
    <r>
      <rPr>
        <rFont val="Arial"/>
        <color theme="1"/>
      </rPr>
      <t xml:space="preserve"> </t>
    </r>
    <r>
      <rPr>
        <rFont val="Arial"/>
        <color theme="1"/>
      </rPr>
      <t>MSMU6109103,</t>
    </r>
    <r>
      <rPr>
        <rFont val="Arial"/>
        <color theme="1"/>
      </rPr>
      <t xml:space="preserve">
</t>
    </r>
    <r>
      <rPr>
        <rFont val="Arial"/>
        <color theme="1"/>
      </rPr>
      <t>MSMU7173513</t>
    </r>
    <r>
      <rPr>
        <rFont val="Arial"/>
        <color theme="1"/>
      </rPr>
      <t xml:space="preserve">, </t>
    </r>
    <r>
      <rPr>
        <rFont val="Arial"/>
        <color theme="1"/>
      </rPr>
      <t>MSMU6867269</t>
    </r>
    <r>
      <rPr>
        <rFont val="Arial"/>
        <color theme="1"/>
      </rPr>
      <t>,</t>
    </r>
    <r>
      <rPr>
        <rFont val="Arial"/>
        <color theme="1"/>
      </rPr>
      <t xml:space="preserve"> MSMU5642925,</t>
    </r>
    <r>
      <rPr>
        <rFont val="Arial"/>
        <color theme="1"/>
      </rPr>
      <t xml:space="preserve">
</t>
    </r>
    <r>
      <rPr>
        <rFont val="Arial"/>
        <color theme="1"/>
      </rPr>
      <t>MSMU6102285</t>
    </r>
    <r>
      <rPr>
        <rFont val="Arial"/>
        <color theme="1"/>
      </rPr>
      <t>, MSMU1885721</t>
    </r>
  </si>
  <si>
    <t>MEDUAV793156</t>
  </si>
  <si>
    <t>7X40' &amp; 1X20'</t>
  </si>
  <si>
    <t>CAT TOY 3 STAR BALLS 4 CM</t>
  </si>
  <si>
    <t>OC-2728</t>
  </si>
  <si>
    <t>DFSU4324969</t>
  </si>
  <si>
    <t>HDMUSHAZ12408100</t>
  </si>
  <si>
    <t>WLC30112917</t>
  </si>
  <si>
    <t>SCHESIR KITTEN POUCH CREAM 0-6</t>
  </si>
  <si>
    <t>PO8042022</t>
  </si>
  <si>
    <t>TRHU4367647</t>
  </si>
  <si>
    <t>OOLU2711868510</t>
  </si>
  <si>
    <t>ZP FRUITBLEND M 12/2LB, 12/3.5LB</t>
  </si>
  <si>
    <t>PO-8870</t>
  </si>
  <si>
    <t>MEDU4965513</t>
  </si>
  <si>
    <t>MEDUDF291212</t>
  </si>
  <si>
    <t>2055922A</t>
  </si>
  <si>
    <t>PLP AUSTR.PARAK.MIX2,5KG
PLP ARA PARR.EXPERT 15KG</t>
  </si>
  <si>
    <t>MSMU4399868</t>
  </si>
  <si>
    <t>MEDUAK075623</t>
  </si>
  <si>
    <t>PRA2T1I.K80O3 ,10 4RECYCLED PLASTICA MIX COL</t>
  </si>
  <si>
    <t>MRKU2480005</t>
  </si>
  <si>
    <t>MAEU224436267</t>
  </si>
  <si>
    <t>Kit Cat Purr Puree Chicken &amp; Fiber 4X15g,
Kit Cat PurrPuree Chicken &amp; Fiber 600g</t>
  </si>
  <si>
    <t>KCIT220145 &amp; KCIT220146</t>
  </si>
  <si>
    <t>MEDU4158276, MSDU4103162, MSDU4313322</t>
  </si>
  <si>
    <t>BKK1122456</t>
  </si>
  <si>
    <t>HAACO</t>
  </si>
  <si>
    <t>ANTWERP</t>
  </si>
  <si>
    <t>MSDU7637454</t>
  </si>
  <si>
    <t>MEDUAK072935</t>
  </si>
  <si>
    <t xml:space="preserve">MAIL SENT TO SUPPLIER FOR SHIPMENT DOCUMENTS </t>
  </si>
  <si>
    <t>DUBEX</t>
  </si>
  <si>
    <t>22/SAR/002</t>
  </si>
  <si>
    <t xml:space="preserve">TURKEY </t>
  </si>
  <si>
    <t>EVYAP</t>
  </si>
  <si>
    <r>
      <rPr>
        <rFont val="Arial"/>
        <color theme="1"/>
      </rPr>
      <t xml:space="preserve">MAGU5796549, YMMU6190707, TEMU8601235, 
</t>
    </r>
    <r>
      <rPr>
        <rFont val="Arial"/>
        <color theme="1"/>
      </rPr>
      <t>TCNU3789198</t>
    </r>
  </si>
  <si>
    <t>YMLUM594077357</t>
  </si>
  <si>
    <t>IST230519</t>
  </si>
  <si>
    <t>SHIPPER CONFIRMED TO LOAD 4 CONTAINERS INSTEAD OF 7 CONTAINERS</t>
  </si>
  <si>
    <t>LAME COLLAR 30CM BLACK, CAT COLLAR NIGHTFISH 30CM BLAK</t>
  </si>
  <si>
    <t>OC-2739</t>
  </si>
  <si>
    <t>TAIWAN</t>
  </si>
  <si>
    <t>TAICHUNG</t>
  </si>
  <si>
    <t>BMOU2911456</t>
  </si>
  <si>
    <t>OOLU2713432070</t>
  </si>
  <si>
    <t>CRUNCHY STICK CAN ALPI/MIE 85
CRUNCHY STICK GRP GRO/SOR 115</t>
  </si>
  <si>
    <t>OC-2764</t>
  </si>
  <si>
    <t>BOLECHOWICE</t>
  </si>
  <si>
    <t>TRHU4674535</t>
  </si>
  <si>
    <t>COSU6351482210</t>
  </si>
  <si>
    <t>Kit Cat 5 in1 Cat Wipes 80pcs</t>
  </si>
  <si>
    <t>KCIT220347</t>
  </si>
  <si>
    <t>PPT-06</t>
  </si>
  <si>
    <t>CAAU6127368</t>
  </si>
  <si>
    <t>COSU8030495260</t>
  </si>
  <si>
    <t>WAITING FOR QUOTE FROM F.F</t>
  </si>
  <si>
    <t>Ciao Sugoi Crunchy Scallop Flavor,
Ciao Sugoi Crunchy Chicken Flavor
Ciao Sugoi Crunchy Chicken Flavor</t>
  </si>
  <si>
    <t>INK202301030-002 AIR</t>
  </si>
  <si>
    <t>072 BKK 7181 8946</t>
  </si>
  <si>
    <t>LAROY</t>
  </si>
  <si>
    <t>EXPERT Canary Middle East 20kg
EXPERT Large parakeet Middle East 20kg</t>
  </si>
  <si>
    <t>22268859, 22268860, 22268861, 22268862</t>
  </si>
  <si>
    <t>APHU6973430, CMAU4650462, DRYU9709767, 
CMAU4327830</t>
  </si>
  <si>
    <t>ANT1646811</t>
  </si>
  <si>
    <t>KITCAT NATURAL MILK FOR KITTEN 250ML</t>
  </si>
  <si>
    <t>KCIT220339A/KCIT220339B</t>
  </si>
  <si>
    <t>PPT-09</t>
  </si>
  <si>
    <t>ZONHOVEN</t>
  </si>
  <si>
    <t>TEMU7326695, BSIU8159573</t>
  </si>
  <si>
    <t>COSU6352591270</t>
  </si>
  <si>
    <t>NSI/JED/6352591270</t>
  </si>
  <si>
    <t>SOPHIA CONFIRMED GOODS WILL BE PRODUCED BY WEEK 52</t>
  </si>
  <si>
    <t>CHEWING STICK WITH CHICKEN X 10</t>
  </si>
  <si>
    <t>OC-2795</t>
  </si>
  <si>
    <t>PPT-25</t>
  </si>
  <si>
    <t>607-29731004</t>
  </si>
  <si>
    <t>BOXES</t>
  </si>
  <si>
    <t>TUNA AND CHICKEN FILLETS 20X85</t>
  </si>
  <si>
    <t>MOFU5877610</t>
  </si>
  <si>
    <t xml:space="preserve">ONEYBKKD20379800 </t>
  </si>
  <si>
    <t>CFR</t>
  </si>
  <si>
    <t>TUNA WITH SHRIMPS 8X6X50g,</t>
  </si>
  <si>
    <t>TCLU4432280</t>
  </si>
  <si>
    <t xml:space="preserve">ONEYBKKD20379804 </t>
  </si>
  <si>
    <t>CHICKEN WITH PINEAPPLE 56X75g,</t>
  </si>
  <si>
    <t>FSCU4823330</t>
  </si>
  <si>
    <t xml:space="preserve">ONEYBKKD20379802 </t>
  </si>
  <si>
    <t>TUNA WITH CHICKEN 56X85g,</t>
  </si>
  <si>
    <t xml:space="preserve">PO8042022-3 </t>
  </si>
  <si>
    <t>DRYU4270012</t>
  </si>
  <si>
    <t>ONEYBKKD20379801</t>
  </si>
  <si>
    <t>PO8042022-6</t>
  </si>
  <si>
    <t>KKTU8033678</t>
  </si>
  <si>
    <t>ONEYBKKD20379805</t>
  </si>
  <si>
    <t>BMOU1525510</t>
  </si>
  <si>
    <t>ONEYBKKD20379803</t>
  </si>
  <si>
    <t>Kit Cat Snow Peas Cat Litter--7L</t>
  </si>
  <si>
    <t>KCIT220343</t>
  </si>
  <si>
    <t>LIAN YUNGANG</t>
  </si>
  <si>
    <t>OOLU0582450</t>
  </si>
  <si>
    <t>COSU6352162130</t>
  </si>
  <si>
    <t>PHASEEXPRESS</t>
  </si>
  <si>
    <t>SUPPLIER NEED TO CONFIRM ON READINESS OF THE SHIPMENT</t>
  </si>
  <si>
    <t>EXPERT Budgie mix Middle East 20 kg</t>
  </si>
  <si>
    <t>2401856, 2402146, 2402145</t>
  </si>
  <si>
    <t>ROTTERDAM</t>
  </si>
  <si>
    <r>
      <rPr>
        <rFont val="Arial"/>
        <color theme="1"/>
      </rPr>
      <t xml:space="preserve">TCLU9766063, </t>
    </r>
    <r>
      <rPr>
        <rFont val="Arial"/>
        <color theme="1"/>
      </rPr>
      <t>CMAU8688527, CMAU4889626</t>
    </r>
  </si>
  <si>
    <t>RTM9214558</t>
  </si>
  <si>
    <t>EXPERT Parrots Middle East 12,5 KG
EXPERT Budgie mix Middle East 20 kg</t>
  </si>
  <si>
    <t>2401855 &amp; 2401902</t>
  </si>
  <si>
    <t>CMAU4844806, TGBU4330897</t>
  </si>
  <si>
    <t>LAVIOSA</t>
  </si>
  <si>
    <t>LINDOCAT PRESTIGE 10L</t>
  </si>
  <si>
    <t>LAT2023PROF01</t>
  </si>
  <si>
    <t>PPT-40</t>
  </si>
  <si>
    <t>FATSA</t>
  </si>
  <si>
    <t>CMAU7240950, CMAU8488920, CMAU4201034,
TCNU6136242, CMAU5940430, TCNU7699718,
TEMU6864886, CMAU6383940, TCNU5850466</t>
  </si>
  <si>
    <t xml:space="preserve">PET ACCESSORIES </t>
  </si>
  <si>
    <t>212, 214, 238</t>
  </si>
  <si>
    <t>SEGU4893261, TLLU8887080, SEKU6427143</t>
  </si>
  <si>
    <t>GEN1540602</t>
  </si>
  <si>
    <t xml:space="preserve">EARTH'S GOODIES </t>
  </si>
  <si>
    <t>GO DUCK PUPPY ORGANIC DUCK 150g</t>
  </si>
  <si>
    <t>SLOVENIA</t>
  </si>
  <si>
    <t>LJUBLJANA</t>
  </si>
  <si>
    <t>MRKU2961248</t>
  </si>
  <si>
    <t>LJA7036255458</t>
  </si>
  <si>
    <t xml:space="preserve">CONTAINER WILL BE LOADED BETWEEN 20th TO 24-DEC-22 AS PER SHIPPER--SHIPPER POSPONED THE SHIPMENT </t>
  </si>
  <si>
    <t>PRESTIGE CANARIES 4 KG</t>
  </si>
  <si>
    <t>HUNGARY</t>
  </si>
  <si>
    <t>HLBU1997519</t>
  </si>
  <si>
    <t>HLCUBUD230202267</t>
  </si>
  <si>
    <t>SEA WAYBILL</t>
  </si>
  <si>
    <t>Kit Cat Petite Pouch 70g - Tuna &amp; Chicken X24 PCS</t>
  </si>
  <si>
    <t>KCIT220330</t>
  </si>
  <si>
    <t>TCKU6595782, HLXU8444791</t>
  </si>
  <si>
    <t>ATWN/DMN/230709</t>
  </si>
  <si>
    <t xml:space="preserve">FOOD CONTAINER </t>
  </si>
  <si>
    <t>ONE CONTAINER WILL BE LOADED BEFORE 31-JAN-23 AND SECOND WILL BE 
LOADED BY 11-FEB-23--BOTH THE CONTAINERS WILL BE LOADED ON 13-FEB-23</t>
  </si>
  <si>
    <t>Delicious Dinners Chicken cat food 400g
CLASSIC SASZETKA MIX SMAKOW 4X100G</t>
  </si>
  <si>
    <t>FS/23/01/0001/EX, FS/23/01/0002/EX</t>
  </si>
  <si>
    <t>MRSU3677413, MSKU0546390</t>
  </si>
  <si>
    <t>MAEU224632799</t>
  </si>
  <si>
    <t>FS/23/02/0001/EX, FS/23/02/0002/EX</t>
  </si>
  <si>
    <t>TCKU6433056, CAAU5396737</t>
  </si>
  <si>
    <t>MAEU225140002</t>
  </si>
  <si>
    <t>BEAPHAR</t>
  </si>
  <si>
    <t>SPRAY CAT, TOOTHPASTE, FIPROTEC, CANISHIELD</t>
  </si>
  <si>
    <t>90000759 &amp; 90000760</t>
  </si>
  <si>
    <t>PPT-20</t>
  </si>
  <si>
    <t>RHENUS</t>
  </si>
  <si>
    <t>TLLU4541062</t>
  </si>
  <si>
    <t>MU00210938/01</t>
  </si>
  <si>
    <t xml:space="preserve">HQ CONTAINER </t>
  </si>
  <si>
    <t>BMOU6645333</t>
  </si>
  <si>
    <t>HLCUBUD230202457</t>
  </si>
  <si>
    <t>APPLAWS CAT DRY FOOD 2KG</t>
  </si>
  <si>
    <t>237178, 237175, 237176, 237183, 237184, 237186, 237187, 237188, 237189, 137185</t>
  </si>
  <si>
    <t>PPT-45</t>
  </si>
  <si>
    <t>VALLADOLID</t>
  </si>
  <si>
    <t>CSNU7842947, CSNU8137807, FFAU2429851, FFAU2452002, OOCU7995248, OOCU8162185, OOLU4942488, OOLU6783322, OOLU9656532, TCNU1327652</t>
  </si>
  <si>
    <t>H2302386</t>
  </si>
  <si>
    <t>BALANCE 9 CONTAINERS WILL BE LOADED IN 1st WEEK OF APRIL</t>
  </si>
  <si>
    <t xml:space="preserve">PET COMFORT ITEMS </t>
  </si>
  <si>
    <t>22/SAR/002 (SECOND LOT)</t>
  </si>
  <si>
    <t>PPT-22</t>
  </si>
  <si>
    <t>BMOU6277587, TCNU4735489</t>
  </si>
  <si>
    <t>YMLUM594077884</t>
  </si>
  <si>
    <t xml:space="preserve">NMEAL3 L PARAKEET 800G </t>
  </si>
  <si>
    <t>OC-2642 &amp; 2643</t>
  </si>
  <si>
    <t>GESU5566192, HLBU1492996</t>
  </si>
  <si>
    <t>HLCULE1230324243</t>
  </si>
  <si>
    <t>GOAT MIL GOURMET CHICKEN &amp; SALMON 70G</t>
  </si>
  <si>
    <t>KCIT220109</t>
  </si>
  <si>
    <t>HLXU8395697</t>
  </si>
  <si>
    <t>HLCUBKK230343035</t>
  </si>
  <si>
    <t>ATWN/DMN/230968</t>
  </si>
  <si>
    <t>CHICKEN FILLET 70G, CHICKEN WINGS 100G</t>
  </si>
  <si>
    <t>OC-2797</t>
  </si>
  <si>
    <t>KOCU2180994</t>
  </si>
  <si>
    <t>HDMUTAOA41131400</t>
  </si>
  <si>
    <t>QDPE23030840</t>
  </si>
  <si>
    <t>SANAL TOPMIX 240G
SANAL MALT ANTI HAIR CATS 75G</t>
  </si>
  <si>
    <t>PPT-28</t>
  </si>
  <si>
    <t>CMAU7173018</t>
  </si>
  <si>
    <t>RTM1326206</t>
  </si>
  <si>
    <t>MU00210994/01</t>
  </si>
  <si>
    <t>PRATIKO 1 PLASTICA RECYCLED
ANTRACITE</t>
  </si>
  <si>
    <t>MRKU5773389</t>
  </si>
  <si>
    <t>MAEU226326841</t>
  </si>
  <si>
    <t>01/23/301282</t>
  </si>
  <si>
    <t>MULTIVIT SM. ANIMAL 20ML PL
LACTOL PUPPY 500G GB</t>
  </si>
  <si>
    <t>90001185 &amp; 90001184</t>
  </si>
  <si>
    <t>FFAU4425623</t>
  </si>
  <si>
    <t>RTM1327446</t>
  </si>
  <si>
    <t>MU00210999/01</t>
  </si>
  <si>
    <t>237177, 237179, 237180, 237181, 237182, 237188, 
237190, 237192, 237193</t>
  </si>
  <si>
    <t>OOLU6804261, TRHU6568086, TEMU6947893, TEMU6365980, TLLU5739957, OOLU8567739, 
OOCU6407606, FFAU3333060, CSNU7125870</t>
  </si>
  <si>
    <t>OOLU2716859120</t>
  </si>
  <si>
    <t>H2303223</t>
  </si>
  <si>
    <t>LARA ADULT STERILIZ 10KG, CALASSIC VARIETY 4KG</t>
  </si>
  <si>
    <t>2303537, 2303501, 2303336, 2303350</t>
  </si>
  <si>
    <t>MSDU8919684, MSDU5267290, FFAU3843439, TGBU9598814</t>
  </si>
  <si>
    <t>MEDUAW129103</t>
  </si>
  <si>
    <t>CRF</t>
  </si>
  <si>
    <t>Applaws Cat Dry 3x(1x2kg) Adult Chicken with Extra Lamb</t>
  </si>
  <si>
    <t>237194, 237195, 237398, 237400, 
237404, 237409, 237415, 237407, 
237403</t>
  </si>
  <si>
    <t>PPT-44</t>
  </si>
  <si>
    <t>OOLU8800619, FFAU3285698, CSNU7406877,
OOCU8494976, OOLU9324482, FFAU3493201,
OOCU7454984, TCNU1737873, OOCU7795358</t>
  </si>
  <si>
    <t>OOLU2717933200</t>
  </si>
  <si>
    <t>H2303636</t>
  </si>
  <si>
    <t>LAT2023PROF02--MARCH ORDER</t>
  </si>
  <si>
    <t>TCLU8150751, TCLU6354587, TRHU8301479, 
TGHU6121624, TCLU7870401, TRLU7586858
ONEU0114817, DRYU9206166, ONEU0097469</t>
  </si>
  <si>
    <t>ONEYISTD05718900</t>
  </si>
  <si>
    <t>RODY3 SA CAGE SOLO WHITE</t>
  </si>
  <si>
    <t>OC-2787 &amp; 2789</t>
  </si>
  <si>
    <t>$2480 &amp; $1775</t>
  </si>
  <si>
    <t>HMMU2083072, KOCU4516394</t>
  </si>
  <si>
    <t>AGS23040099RIY</t>
  </si>
  <si>
    <t>1X20' &amp; 1X40'</t>
  </si>
  <si>
    <t>BALDO 140 FLAT CHROME/DARK BLUE</t>
  </si>
  <si>
    <t>363, 364, 365, 366</t>
  </si>
  <si>
    <t>FANU1543797, HAMU1226620,
 HLBU1845049, HLBU2769853</t>
  </si>
  <si>
    <t>H700822888</t>
  </si>
  <si>
    <t>Applaws Cat Dry 1x7.5kg Senior Chicken</t>
  </si>
  <si>
    <t>237410, 237411, 237412, 237414,
237408, 237413, 237397,237399,
237401, 237402, 237405, 237406</t>
  </si>
  <si>
    <t>TRHU6583120, OOLU8900808, TGBU5012340,
OOLU9832267, CAAU6154595, OOLU6929680,
FJKU6004723, TEMU6016870, FFAU3318620,
OOCU7462151, OOLU9229802, OOLU9217308</t>
  </si>
  <si>
    <t>OOLU2718239490</t>
  </si>
  <si>
    <t>H2303915</t>
  </si>
  <si>
    <t xml:space="preserve">Bavaro Task 23/9 18kg SA
LEGER 6X2KG, NATURE CAT 6X2KG
BAVARO WORK 26/12 18KG SA
</t>
  </si>
  <si>
    <t xml:space="preserve">301523712,301523793, 301523810,
301523839, 301523853, 301523878
301523897, </t>
  </si>
  <si>
    <t>PPT-49</t>
  </si>
  <si>
    <t>TRHU4418889, TCLU6480369, TRHU6876638, 
TRHU7674056, TCLU6635389, FDCU0525745,
TRHU4783710</t>
  </si>
  <si>
    <t xml:space="preserve">ONEYHAMD32009700
</t>
  </si>
  <si>
    <t>TECJ2345040186</t>
  </si>
  <si>
    <t>Delicious Dinners Chicken cat food 400g
Classic saszetka mix smaków 4x100g</t>
  </si>
  <si>
    <t>FS/23/03/0002/EX, FS/23/03/0003/EX</t>
  </si>
  <si>
    <t>MRSU3235767, MRKU4231418</t>
  </si>
  <si>
    <t>MAEU225728933</t>
  </si>
  <si>
    <t>SHAMPOO CAT GB/ARA/TR 250ML, 
LACTOL KITTEN 500G, COMBOTEC 2X50MG</t>
  </si>
  <si>
    <t>80039758, 80039760, 80046617</t>
  </si>
  <si>
    <t>PONU8119054</t>
  </si>
  <si>
    <t>MAEU227506223</t>
  </si>
  <si>
    <t>ARAMEX</t>
  </si>
  <si>
    <t>Applaws Cat Tin 1x(24x70g)</t>
  </si>
  <si>
    <r>
      <rPr>
        <rFont val="Arial"/>
        <b/>
        <color theme="1"/>
      </rPr>
      <t>PCI</t>
    </r>
    <r>
      <rPr>
        <rFont val="Arial"/>
        <color theme="1"/>
      </rPr>
      <t>--SO-237423, 237425, 237426,
 237424, 237427.
PO-23265, 23266, 23267</t>
    </r>
  </si>
  <si>
    <t>PPT-43</t>
  </si>
  <si>
    <t>$ 1565 &amp; $ 1995</t>
  </si>
  <si>
    <t>PCIU1058732, PIDU4016414, PIDU4042291</t>
  </si>
  <si>
    <t>BKK300589900</t>
  </si>
  <si>
    <t>WLC30510943</t>
  </si>
  <si>
    <t>2X40' &amp; 1X20'</t>
  </si>
  <si>
    <t>WITH PALLETS</t>
  </si>
  <si>
    <t>JOSIDOG ACTIVE 15KG, CULINESSE 8X400G
JOSIDOG AGILO SPORT 15KG</t>
  </si>
  <si>
    <t>301523912, 301523918,301523930, 
301523936, 301523940,301523941, 
301523953</t>
  </si>
  <si>
    <t>KKFU7280025, TCLU6663170, TCLU9710613, TGBU4555569, TGHU6139639, TLLU5490041, TRHU7016306</t>
  </si>
  <si>
    <t>ONEYHAMD32015400</t>
  </si>
  <si>
    <t>TECJ2345040189</t>
  </si>
  <si>
    <t>BIO SAND CAT LITTER 7.5KG
BIO SAND CAT LITTER 10L &amp; 15L</t>
  </si>
  <si>
    <t>117/2023, 118/2023, 119/2023</t>
  </si>
  <si>
    <t>PPT-41</t>
  </si>
  <si>
    <t>HLBU1015524, FANU3016218, HLXU8063882</t>
  </si>
  <si>
    <t>HLCUGOA230537917</t>
  </si>
  <si>
    <t>H700827871</t>
  </si>
  <si>
    <t>Applaws Cat Tin 1x(24x70g)
Chicken Breast with Cheese</t>
  </si>
  <si>
    <r>
      <rPr>
        <rFont val="Arial"/>
        <b/>
        <color theme="1"/>
      </rPr>
      <t>AAI</t>
    </r>
    <r>
      <rPr>
        <rFont val="Arial"/>
        <color theme="1"/>
      </rPr>
      <t>--SO-237420, 237421, 237422
PO-23258, 23259, 23260</t>
    </r>
  </si>
  <si>
    <t>GLDU9589084, CAIU7182296, BSIU9872526</t>
  </si>
  <si>
    <t>BKK300590200</t>
  </si>
  <si>
    <t>WLC30511858</t>
  </si>
  <si>
    <t>GROOMER CHOICE</t>
  </si>
  <si>
    <t>STAINLESS STEEL BANK CAGE, HAPPY HOODIE</t>
  </si>
  <si>
    <t>PPT-24</t>
  </si>
  <si>
    <t>BRANDON</t>
  </si>
  <si>
    <t>TCLU6829954</t>
  </si>
  <si>
    <t>ONEYRICDJ8042300</t>
  </si>
  <si>
    <t>SDHL</t>
  </si>
  <si>
    <t>HIGGINS</t>
  </si>
  <si>
    <t>VITA SEED PARROT 6/3lb</t>
  </si>
  <si>
    <t>S250382, S250383</t>
  </si>
  <si>
    <t xml:space="preserve">MIAMI </t>
  </si>
  <si>
    <t>$4200 &amp; $4800</t>
  </si>
  <si>
    <t>MSKU5059687, SUDU6982901</t>
  </si>
  <si>
    <t>MAEU226854101</t>
  </si>
  <si>
    <t>PETNUTRITION</t>
  </si>
  <si>
    <t>PRINCE FRESH &amp; CLEAN BABYPOWDER SCENT 20L / 10L</t>
  </si>
  <si>
    <t xml:space="preserve">037370, 037367, 037368, 037369, </t>
  </si>
  <si>
    <t>PPT-55</t>
  </si>
  <si>
    <t>TCNU4681079, FDCU0634181, TCLU6272175, 
NYKU0770063</t>
  </si>
  <si>
    <t>ONEYISTD07129700</t>
  </si>
  <si>
    <t>Kit Cat 400g - Kitten Mousse
Kit Cat 400g - Atlantic Tuna with Mackerel</t>
  </si>
  <si>
    <t>KCIT230033A</t>
  </si>
  <si>
    <t>PPT-29</t>
  </si>
  <si>
    <t>OOCU7565150, OOCU7673473</t>
  </si>
  <si>
    <t>OOLU2719307560</t>
  </si>
  <si>
    <t>WLC30520320</t>
  </si>
  <si>
    <t>SGS</t>
  </si>
  <si>
    <t>WITHOUT PALLETS</t>
  </si>
  <si>
    <t>SCHESIR Cat Can Jelly 56x85 gr Chicken Fillets with Surimi</t>
  </si>
  <si>
    <t>TRHU6735645</t>
  </si>
  <si>
    <t xml:space="preserve">ONEYBKKDA4800700 </t>
  </si>
  <si>
    <t>CAIU9366646</t>
  </si>
  <si>
    <t xml:space="preserve">ONEYBKKDA4796700 </t>
  </si>
  <si>
    <t>TOILETTE TRÈS CHIC INDOOR FILTER TORTORA</t>
  </si>
  <si>
    <t>300833/03, 300849/03, 300870/03, 300877/03</t>
  </si>
  <si>
    <t>CMAU7034286, GESU6771951, TCLU6485078, 
SEKU6382711</t>
  </si>
  <si>
    <t xml:space="preserve">NEED TO PAY SUPPLIER IN ADVANCE </t>
  </si>
  <si>
    <t xml:space="preserve">WOOD TOYS </t>
  </si>
  <si>
    <t>OC-2792</t>
  </si>
  <si>
    <t>PCIU0222097</t>
  </si>
  <si>
    <t>WMSS23053976</t>
  </si>
  <si>
    <t>LINDOCAT</t>
  </si>
  <si>
    <t>CAGLIARI</t>
  </si>
  <si>
    <t>MEDU7519407</t>
  </si>
  <si>
    <t>H700831409</t>
  </si>
  <si>
    <t>BMOU6598268</t>
  </si>
  <si>
    <t>ONEYBKKDA4797800</t>
  </si>
  <si>
    <t>SCHESIR Cat Can Jelly 56x85 gr Tuna with Surimi
SCHESIR Cat Multipack Can 8X6X50 gr Tuna with Prawns</t>
  </si>
  <si>
    <t>KKFU8035362</t>
  </si>
  <si>
    <t xml:space="preserve">ONEYBKKDA4795600 </t>
  </si>
  <si>
    <t>TLLU5584032</t>
  </si>
  <si>
    <t xml:space="preserve">ONEYBKKDA4801800 </t>
  </si>
  <si>
    <t>Schesir Mou Chick.tuna&amp;Mang12x2x40g
Schesir Sal Chick.pineap&amp;carr56x85g</t>
  </si>
  <si>
    <t>KKTU8145019</t>
  </si>
  <si>
    <t>ONEYBKKDA5749600</t>
  </si>
  <si>
    <t>NETTA CLOSE MIX COL
PRATIKO 1 PLASTICA MIX COL</t>
  </si>
  <si>
    <t>469, 470, 472</t>
  </si>
  <si>
    <t>FFAU3900077, BEAU4248780, MEDU4829353</t>
  </si>
  <si>
    <t>MEDUGN328422</t>
  </si>
  <si>
    <t>Kit Cat Classic Clump 10L
Kit Cat MultiCat Cat Sand 20kg</t>
  </si>
  <si>
    <t xml:space="preserve"> KCIT220340 / KCIT220341 </t>
  </si>
  <si>
    <t>PPT-11 / PPT-08</t>
  </si>
  <si>
    <t>DALIAN</t>
  </si>
  <si>
    <t>TEMU4147335, IPXU3177999, MSMU2587233,
MSCU1330472, TCKU2169829, FCIU2830671
CAIU6339689, MEDU3781419, MSDU1053319, 
GLDU9722160, DFSU2840082, MEDU1756905,
MEDU2604614, MSMU2048226, MEDU6437351,
MSDU1771342, SEGU2876624, BEAU2817759,
TEMU3750030, MEDU3847115, TRHU2133017,
MEDU6825716</t>
  </si>
  <si>
    <t>MEDUDI626562</t>
  </si>
  <si>
    <t>WLC30505098</t>
  </si>
  <si>
    <t>AL ZAFER</t>
  </si>
  <si>
    <t>JosiDog Beef in Sauce 3x4x415g DIR
JosiCat Beef in Sauce 3x4x415g</t>
  </si>
  <si>
    <t>PPT-61</t>
  </si>
  <si>
    <t>MSMU4098988</t>
  </si>
  <si>
    <t>MEDUAW440575</t>
  </si>
  <si>
    <t>SDI0623EX043</t>
  </si>
  <si>
    <t xml:space="preserve">FOCUSLINE </t>
  </si>
  <si>
    <t xml:space="preserve">Kit Cat Purr Puree Chicken &amp; Salmon 4x15g
Kit Cat PurrPuree Chicken &amp; Fiber 600g value pack </t>
  </si>
  <si>
    <t>KCIT220345A &amp; KCIT220346</t>
  </si>
  <si>
    <t>PPT-13</t>
  </si>
  <si>
    <t>EGHU8478350, TRHU7501641</t>
  </si>
  <si>
    <t>one container from order KCIT220345 will be shipped later</t>
  </si>
  <si>
    <t>CHICKEN FILLET 70G
CHICKEN WINGS 100G</t>
  </si>
  <si>
    <t>OC-2816</t>
  </si>
  <si>
    <t>GLDU9572100</t>
  </si>
  <si>
    <t>NGBABF23050066</t>
  </si>
  <si>
    <t>EXPERT Budgie mix Middle East 20 kg
EXPERT Parrots mix fruit Middle East 12,5 KG
EXPERT Budgie mix Middle East 20 kg</t>
  </si>
  <si>
    <t>2402593, 2402596, 2402598, 
2402597</t>
  </si>
  <si>
    <t>BUDGIE 2
PARROT 1</t>
  </si>
  <si>
    <t>FCIU9940794, OOCU6981240, OOLU9998134</t>
  </si>
  <si>
    <t>OOLU2141306580</t>
  </si>
  <si>
    <t xml:space="preserve">EXPERT Large parakeet Middle East 20kg
</t>
  </si>
  <si>
    <t>22326301, 22326303, 22326304, 22326305</t>
  </si>
  <si>
    <t xml:space="preserve">LARGE PARAKEET 1, 2, 3, 4
</t>
  </si>
  <si>
    <t>YMLU5158712, TCKU4330212, YMLU5720331, 
CXDU2299951</t>
  </si>
  <si>
    <t>YMLUN851129911</t>
  </si>
  <si>
    <t>JosiDog Master Mix 15kg SA
JosiDog Agilo Sport 15kg SA
Duck &amp; Chicken with Parsley
16x85g</t>
  </si>
  <si>
    <t xml:space="preserve">570239305, 570239306, 570239320,
570239478
</t>
  </si>
  <si>
    <t>PPT-62</t>
  </si>
  <si>
    <t>CMAU3640222, CMAU4609448, CMAU7534620,
CMAU8598378</t>
  </si>
  <si>
    <t>BRE0628981</t>
  </si>
  <si>
    <t>LINDOCAT ADV. CLUMPING PLUS BP 10 L TR</t>
  </si>
  <si>
    <t>2300000297, 2300000298, 2300000299</t>
  </si>
  <si>
    <t>TCLU6761160, NYKU5210312, SEGU4992557</t>
  </si>
  <si>
    <t>ONEYISTD08442600</t>
  </si>
  <si>
    <t>INITIALLY SHIPPER CONFIRMED 1 CONTAINER, LATER RECONFIRMED FOR 3 CONTAINERS</t>
  </si>
  <si>
    <t>BIOSAND CAT LITTER SUPERCLUMP WHITE 10L, 15L, 7.5KG</t>
  </si>
  <si>
    <t>141/2023, 142/2023, 143/2023, 144/2023, 145/2023</t>
  </si>
  <si>
    <t>FFAU3504040, GLDU7679110, BEAU5827391, 
TXGU5376447, MSDU6462011</t>
  </si>
  <si>
    <t>MEDUGN392436</t>
  </si>
  <si>
    <t>Delicious Dinners Chicken cat food 400g
Delicious Dinners Beef cat food 400g</t>
  </si>
  <si>
    <t xml:space="preserve">MRKU2749516, MRSU6332354 </t>
  </si>
  <si>
    <t>MAEU226731103</t>
  </si>
  <si>
    <t>Kit Cat SoyaClump Soybean Litter 7L</t>
  </si>
  <si>
    <t>KCIT230036</t>
  </si>
  <si>
    <t>PPT-32</t>
  </si>
  <si>
    <t>KOCU2152375</t>
  </si>
  <si>
    <t>TAOZ45884400</t>
  </si>
  <si>
    <t>WMSS23061693</t>
  </si>
  <si>
    <t>WITHOUT PALLET</t>
  </si>
  <si>
    <t>JosiDog Active 15kg SA</t>
  </si>
  <si>
    <t>PO-49</t>
  </si>
  <si>
    <t>TCNU8297143</t>
  </si>
  <si>
    <t>BRE0630408</t>
  </si>
  <si>
    <t xml:space="preserve">LINDOCAT </t>
  </si>
  <si>
    <t>TCLU8653036</t>
  </si>
  <si>
    <t>HLCUGOA230699499</t>
  </si>
  <si>
    <t>PETSAN</t>
  </si>
  <si>
    <t>PETCLAY 10 LT Baby Powder Tela
PETCLAY 10 LT Lavender Tela</t>
  </si>
  <si>
    <t>PSF2023000000318</t>
  </si>
  <si>
    <t>PPT-63</t>
  </si>
  <si>
    <t>FDCU0572599, NYKU5194443, ONEU0060541, 
ONEU0201763, ONEU1061100, TCKU7220965, 
TCKU7961320, TCLU6400002, TCLU6605595,
TCNU3270957, TCNU6619322, TGBU4688730,
TGBU9845051, TRHU4195110, TRHU6075480,
TRHU6267539, TRHU6486286, TRHU7322604</t>
  </si>
  <si>
    <t>ONEYISTD09137800</t>
  </si>
  <si>
    <t xml:space="preserve">WITH PALLETS </t>
  </si>
  <si>
    <t>Lindocat Prestige 10L
Lindocat Double Action 10L</t>
  </si>
  <si>
    <t>LAT2023000001085</t>
  </si>
  <si>
    <t>PPT-52</t>
  </si>
  <si>
    <t>BEAU4424600, NYKU4887654, TCLU7940047,
TCNU4030420, TCNU5995243, TCNU7585783, 
TCNU8269537, TRHU5857947, TRHU6292505,
TRHU6730730</t>
  </si>
  <si>
    <t>ANKA05627</t>
  </si>
  <si>
    <t>40;</t>
  </si>
  <si>
    <t>Delicious Dinners Trout 400g
Delicious Dinners Beef cat food 400g
Butcher's Original gravy Turkey 400g</t>
  </si>
  <si>
    <t>FS/23/05/0001/EX
FS/23/05/0002/EX
FS/23/05/0003/EX</t>
  </si>
  <si>
    <t>MSKU9626006, MSKU0232911, MSKU9876828</t>
  </si>
  <si>
    <t>MAEU227300330</t>
  </si>
  <si>
    <t>EXPERT Parrots mix fruit Middle East 12.5 KG
EXPERT Budgie mix Middle East 20 kg</t>
  </si>
  <si>
    <t>2402733, 2402735, 2402738, 
2402740, 2402743, 2402736</t>
  </si>
  <si>
    <t>PARROT 2
MIX
BUDGIE 4, 3</t>
  </si>
  <si>
    <t>OOCU7560369, OOCU8543242, OOLU9212477,
FFAU3403893, CSNU6609680, OOCU8246795,</t>
  </si>
  <si>
    <t>22340589, 22340597, 22340590,
22340598,  22340074</t>
  </si>
  <si>
    <t>LARGE PARAKEET 5, 6, 7</t>
  </si>
  <si>
    <t>SEGU5051036, YMLU9010831, YMMU6219518, 
YMMU6537397</t>
  </si>
  <si>
    <t>YMLUN851130767</t>
  </si>
  <si>
    <t>Simple Solution Stain &amp; Odour Remover -
Dog - 750ml, Simple Solution Stain &amp; Odour Remover -Spring Breeze - 750ml
Simple Solution Spot Spotter</t>
  </si>
  <si>
    <t>83652, 83699</t>
  </si>
  <si>
    <t>PPT-70</t>
  </si>
  <si>
    <t>UK</t>
  </si>
  <si>
    <t>Wellingborough</t>
  </si>
  <si>
    <t>UACU5596203, UACU8425781</t>
  </si>
  <si>
    <t>HLCULIV230751880</t>
  </si>
  <si>
    <t>BIO COLLAR CAT GB
DENTAL TREATS CAT 35G</t>
  </si>
  <si>
    <t>MRSU0325511</t>
  </si>
  <si>
    <t>MAEU229314150</t>
  </si>
  <si>
    <t>Sanal Cat Cream Sticks Salmon 20x75g - 5 sticks
Sanal Cat Cream Sticks Chicken 20x75g - 5 sticks</t>
  </si>
  <si>
    <t>PPT-60</t>
  </si>
  <si>
    <t>GESU6392006</t>
  </si>
  <si>
    <t>HLCURTM230752789</t>
  </si>
  <si>
    <t>PRATIKO 2 PLASTICA RECYCLED NERO</t>
  </si>
  <si>
    <t>20/PRO</t>
  </si>
  <si>
    <t>TGHU6618312</t>
  </si>
  <si>
    <t>ONEYGOAD25556900</t>
  </si>
  <si>
    <t>NON FOOD</t>
  </si>
  <si>
    <t>2402807, 2402812</t>
  </si>
  <si>
    <t>budgie 3, budgie 4</t>
  </si>
  <si>
    <t>OOCU7998606, DRYU9699268</t>
  </si>
  <si>
    <t>OOLU2142114990</t>
  </si>
  <si>
    <t>Kit Cat Litter Trapping Mat</t>
  </si>
  <si>
    <t>KCIT230041</t>
  </si>
  <si>
    <t>PPT-36</t>
  </si>
  <si>
    <t>FCIU5381229</t>
  </si>
  <si>
    <t>HDMUSHAZ21653400</t>
  </si>
  <si>
    <t>WMSS23073901</t>
  </si>
  <si>
    <t>DAIRYPET</t>
  </si>
  <si>
    <t>PERRO 115G (10X115G) YOWUP-ARABE!</t>
  </si>
  <si>
    <t>AV23/364</t>
  </si>
  <si>
    <t>VELENCIA</t>
  </si>
  <si>
    <t>OOLU9934572</t>
  </si>
  <si>
    <t>COSU6891241850</t>
  </si>
  <si>
    <t>JosiCat Crispy Duck 18kg
JosiCat Crispy Duck 7x650g</t>
  </si>
  <si>
    <t>570244303, 570244302</t>
  </si>
  <si>
    <t>PPT-72</t>
  </si>
  <si>
    <t>OOCU8134579, OOCU9035729</t>
  </si>
  <si>
    <t>FRAA30492</t>
  </si>
  <si>
    <t>AS PER SHIPPER REQUEST THIS SHIPMENT IS SPLIT INTO TWO SHIPMENT FIRST SHIPMENT 2 CONTAINERS, SECOND SHIPMENT 6 CONTAINERS</t>
  </si>
  <si>
    <t>Butcher's Original gravy Turkey 400g
Delicious Dinners Trout 400g
Delicious Dinners Beef cat food 400g</t>
  </si>
  <si>
    <t>FS/23/06/003/EX
FS/23/06/004/EX
FS/23/06/005/EX</t>
  </si>
  <si>
    <t>MIEU3051197, TCKU7846075, TGBU5322685</t>
  </si>
  <si>
    <t>MUGUE</t>
  </si>
  <si>
    <t>Lint roller Felyn Go - Pet Lint roller
Lint roller Felyn Go - Mites Remover</t>
  </si>
  <si>
    <t>000326/23</t>
  </si>
  <si>
    <t>ARCORE</t>
  </si>
  <si>
    <t>NIDU2287689</t>
  </si>
  <si>
    <t>JosiCat Chicken in Sauce 3x4x415g DIR</t>
  </si>
  <si>
    <t>570246043, 570246044, 570246045, 570246046</t>
  </si>
  <si>
    <t>TXGU7119920, HLBU1876287, SLSU8054766,
TCNU3354235</t>
  </si>
  <si>
    <t>HLCURTM230825753</t>
  </si>
  <si>
    <t>HQ CONTAINERS</t>
  </si>
  <si>
    <t>TVI2023000000116</t>
  </si>
  <si>
    <t>PPT-23</t>
  </si>
  <si>
    <t>TCLU6630772</t>
  </si>
  <si>
    <t>ONEYISTD10097500</t>
  </si>
  <si>
    <t>ONLY ONE CONTAINER IS LOADED, BALANCE 2 CONTAINERS WILL BE LOADED ON 6th SEP 2023</t>
  </si>
  <si>
    <t>CATELUX 15KG, CULINESSE 10KG, DAILYCAT 
10KG, GASTRO CAT DRY, KITTEN GRAINFREE, 
NATURECAT</t>
  </si>
  <si>
    <t>570245594, 570245595, 570245736,
570245735, 570245737, 570245738</t>
  </si>
  <si>
    <t>TRHU5387329, OOLU9221680, OOLU9981110, 
OOLU8981292,  FFAU3532967, OOLU9325977</t>
  </si>
  <si>
    <t>OOLU2142235090</t>
  </si>
  <si>
    <t xml:space="preserve">SECOND BOOKING SHIPMENT </t>
  </si>
  <si>
    <t>MARK &amp; CHAPPELL</t>
  </si>
  <si>
    <t>VETIQ Kalsium Plus 60 Tablets
VETIQ 2In1 Denti-Care 70G</t>
  </si>
  <si>
    <t>PI--FL/23/1279</t>
  </si>
  <si>
    <t>PPT-58</t>
  </si>
  <si>
    <t xml:space="preserve">UK </t>
  </si>
  <si>
    <t xml:space="preserve">LUTON </t>
  </si>
  <si>
    <t>MRKU5571243</t>
  </si>
  <si>
    <t>MAEU230389229</t>
  </si>
  <si>
    <r>
      <rPr>
        <rFont val="Arial"/>
        <b/>
        <color theme="1"/>
      </rPr>
      <t>CMC-</t>
    </r>
    <r>
      <rPr>
        <rFont val="Arial"/>
        <color theme="1"/>
      </rPr>
      <t>SO-238455, 238456, 238457,
238458</t>
    </r>
  </si>
  <si>
    <t>$1700 &amp; $2100</t>
  </si>
  <si>
    <t>TRHU2033759, BMOU4913740, GESU6805476,
CMAU6638363, TCNU4821416</t>
  </si>
  <si>
    <t>THD1073389</t>
  </si>
  <si>
    <t>4X40'
1X20'</t>
  </si>
  <si>
    <t>Kit Cat Deboned Chicken &amp; Whitebait Toppers 80g</t>
  </si>
  <si>
    <t>KCIT230042B</t>
  </si>
  <si>
    <t>PPT-39</t>
  </si>
  <si>
    <t>TCLU5157520</t>
  </si>
  <si>
    <t>THD1073383</t>
  </si>
  <si>
    <t xml:space="preserve">ONLY 1 CONTAINER WAS LOADED, SECOND CONTAINER WAS RETURNED BACK AND REQUESTED TO CANCEL THE BOOKING BY SHIPPER AS THERE WAS LABLE DAMAGE WHILE PRODUCTION </t>
  </si>
  <si>
    <t>Nutrivet Fish Oil Softgels - 100 ct - Case of 12
Nutrivet Wild Alaskan Salmon Oil-6.5ozCase of12</t>
  </si>
  <si>
    <t>DRYU6034572</t>
  </si>
  <si>
    <t>ONEYRICDCP453300</t>
  </si>
  <si>
    <t>TVI2023000000123</t>
  </si>
  <si>
    <t>NYKU4956523, NYKU4423530</t>
  </si>
  <si>
    <t>ONEYISTD11728700</t>
  </si>
  <si>
    <t>ZP FRUITBLEND XS 12/.875LB
ZP FRUITBLEND XS 12/2LB</t>
  </si>
  <si>
    <t>90491536, 90491535</t>
  </si>
  <si>
    <t>9446, 9442</t>
  </si>
  <si>
    <t>SLSU8026466, UACU5901502</t>
  </si>
  <si>
    <t>HLCUTOR230901167</t>
  </si>
  <si>
    <t>SEALAND HOLDINGS</t>
  </si>
  <si>
    <t>CAT H2O MINI
CAT FOUNTAIN 2L GREEN</t>
  </si>
  <si>
    <t>KSO23030033 - V1</t>
  </si>
  <si>
    <t>PPT-66</t>
  </si>
  <si>
    <t>$ 1200 &amp; $ 1400</t>
  </si>
  <si>
    <t>BEAU2014530, TCNU1696429</t>
  </si>
  <si>
    <t>SZPA65399300</t>
  </si>
  <si>
    <t xml:space="preserve">1 X 40'
1 X 20'
</t>
  </si>
  <si>
    <t>PRINCES PREM TUNA, CHICKEN &amp; RICE 170G</t>
  </si>
  <si>
    <t>FCIU4038956, MEDU5067210, SEGU2929431</t>
  </si>
  <si>
    <t>MEDUDJ740627</t>
  </si>
  <si>
    <t xml:space="preserve">SDHL </t>
  </si>
  <si>
    <t xml:space="preserve">
Cat Can Jelly 56x85 gr Tuna</t>
  </si>
  <si>
    <t>PPT-51</t>
  </si>
  <si>
    <t>EGHU9702612</t>
  </si>
  <si>
    <t>HC CONTAINER</t>
  </si>
  <si>
    <t>Cat Can 24x140 gr Tuna with Whitebait</t>
  </si>
  <si>
    <t>EGHU8326233</t>
  </si>
  <si>
    <t>JosiDog Junior 15kg SA
JosiCat Kitten 10kg SA</t>
  </si>
  <si>
    <t xml:space="preserve">301626519, 301626657, 301626659,
301626679, 301626689, 301626918,
301626925, 301634238, 301662578,  </t>
  </si>
  <si>
    <t>PPT-73</t>
  </si>
  <si>
    <t>FANU1118150, CAIU4802412, HLBU3117680 FSCU7165824, HLXU8493501, BSIU9856192, FANU1060124, GESU6308818, HLBU2266463</t>
  </si>
  <si>
    <t>HLCUHAM2308BCTX0</t>
  </si>
  <si>
    <t>PUUR timothy hay vegetables 500g intrastat
PUUR PARROT WHITOUT HEMP/PADDY 2kg</t>
  </si>
  <si>
    <t xml:space="preserve">PUUR </t>
  </si>
  <si>
    <t>YMMU6164272</t>
  </si>
  <si>
    <t>YMJAN851132635</t>
  </si>
  <si>
    <t>KCIT230042B/2-C</t>
  </si>
  <si>
    <t>FFAU3531683</t>
  </si>
  <si>
    <t xml:space="preserve">THIS IS A BALANCE ONE CONTAINER WHICH WAS CANCELLED DUE TO DAMAGE OF LABELS IN PRODUCTION </t>
  </si>
  <si>
    <t>KCIT230033B</t>
  </si>
  <si>
    <t>FFAU3273296, CSNU8056201</t>
  </si>
  <si>
    <t xml:space="preserve">ARCH LOGISTICS </t>
  </si>
  <si>
    <t>INNER MONGOLIA</t>
  </si>
  <si>
    <t>SC-01 Ball Shape bentonite cat litter 1-3.5mm</t>
  </si>
  <si>
    <t>SCZ-2023019-1</t>
  </si>
  <si>
    <t>EGHU3467183, EITU0172209, EITU0546269,
EITU3022877, EITU3036850, TCLU3335602,
TEMU3591094, TRHU3343424, TRHU3640269</t>
  </si>
  <si>
    <t>SHIPPER REQEUSTED TO SPLIT THE SHIPMENT IN 2 LOTS</t>
  </si>
  <si>
    <t>Kit Cat FD Yogurt Yums Blueberry 10 counts x 1g</t>
  </si>
  <si>
    <t>KCIT230134</t>
  </si>
  <si>
    <t>HDMU2840326</t>
  </si>
  <si>
    <t>TSNA78450000</t>
  </si>
  <si>
    <t>22355491,22355731, 22355739</t>
  </si>
  <si>
    <t>SEGU6187270, YMMU6044385, TCKU6025270</t>
  </si>
  <si>
    <t>YMJAN851132840</t>
  </si>
  <si>
    <t>SCHESIR CAT CAN JELLY 56X85 gr TUNA WITH SEAWEED
SCHESIR CAT MULTIPACK CAN 8X6X50 gr TUNA</t>
  </si>
  <si>
    <t>PPT-75</t>
  </si>
  <si>
    <t>PCIU9449630</t>
  </si>
  <si>
    <t>BKK301360500</t>
  </si>
  <si>
    <t>SCHESIR CAT CAN NAT BRINE 56X85 gr TUNA NAT 
SCHESIR CAT MULTIPACK CAN 8X6X50gr</t>
  </si>
  <si>
    <t>PCIU9354350</t>
  </si>
  <si>
    <t>BKK301360700</t>
  </si>
  <si>
    <t>SCZ-2023019-2</t>
  </si>
  <si>
    <t>EGHU3785142, EISU2263177, EISU2294250,
EITU0151171, EITU0612421, EITU3092180,
TCLU3493980, TCLU3616889, TRHU3393467</t>
  </si>
  <si>
    <t>Sanal Dog Chicken Filet doypack 12x80g
Sanal Dog Chicken Sushi doypack 12x80g</t>
  </si>
  <si>
    <t>PPT-78</t>
  </si>
  <si>
    <t>PCIU1295950</t>
  </si>
  <si>
    <t>SRD23100209</t>
  </si>
  <si>
    <t>CHURU TUNA RECIPE
CHURU TUNA WITH CHICKEN RECIPE</t>
  </si>
  <si>
    <t>INK202309030-003</t>
  </si>
  <si>
    <t>SA001-2023</t>
  </si>
  <si>
    <t>TCLU9303238, TCNU4167645</t>
  </si>
  <si>
    <t>ASLTHA2300093</t>
  </si>
  <si>
    <t>JATCO</t>
  </si>
  <si>
    <t>22362426, 22362431, 22362437</t>
  </si>
  <si>
    <t>PPT-83</t>
  </si>
  <si>
    <t>YMMU6280312, FCIU7631939, BMOU6049000</t>
  </si>
  <si>
    <t>YMJAN851133682</t>
  </si>
  <si>
    <t xml:space="preserve">OCEAN </t>
  </si>
  <si>
    <t>Delicious Dinners Trout 400g
Delicious Dinners Ocean fish cat food 400g</t>
  </si>
  <si>
    <t>FS/23/09/0001/EX, FS/23/09/0002/EX</t>
  </si>
  <si>
    <t>CIPU5028604, CAAU6638120</t>
  </si>
  <si>
    <t>MAEU231764190</t>
  </si>
  <si>
    <t>Applaws Cat Dry 3x(1x2kg) Adult Chicken
Applaws Cat Dry 1x7.5kg Adult Chicken</t>
  </si>
  <si>
    <t>240686, 240680, 240691, 240681</t>
  </si>
  <si>
    <t>PPT-71</t>
  </si>
  <si>
    <t>GESU6365269, TCKU7008935, SUDU6684023,
MRKU2826973</t>
  </si>
  <si>
    <t>MAEU233383433</t>
  </si>
  <si>
    <t>Kit Cat Deboned Chicken &amp; Crabstick Toppers 80g
Kit Cat Deboned Tuna &amp; Anchovy Toppers 80g</t>
  </si>
  <si>
    <t>KCIT230045</t>
  </si>
  <si>
    <t>PPT-34</t>
  </si>
  <si>
    <t>TCNU9881660</t>
  </si>
  <si>
    <t>THD1091559</t>
  </si>
  <si>
    <t>Kit Cat Deboned Chicken &amp; Whitebait Toppers 80g
Kit Cat Deboned Chicken &amp; Salmon Toppers 80g</t>
  </si>
  <si>
    <t>KCIT230042A</t>
  </si>
  <si>
    <t>TGHU5240341, CMAU9135531</t>
  </si>
  <si>
    <t>THD1091794</t>
  </si>
  <si>
    <t>Delicious Dinners Trout 400g
Butcher's Original gravy Beef 400g</t>
  </si>
  <si>
    <t>FS/23/10/0001/EX, FS/23/10/0002/EX</t>
  </si>
  <si>
    <t xml:space="preserve">BEAU6370463 , TRHU4573000 </t>
  </si>
  <si>
    <t>Applaws Cat Dry 3x(1x2kg) Kitten chicken
Applaws Cat Dry 3x(1x2kg) Kitten chicken
Applaws Cat Dry 1x7.5kg Kitten chicken</t>
  </si>
  <si>
    <t>240687, 240688, 240689, 240690, 
24683, 240682</t>
  </si>
  <si>
    <t>BEAU4718950, TCLU5364446, GCXU5918413
CAIU9766405, HLBU1067282, FANU3400861</t>
  </si>
  <si>
    <t>HLCUBC1231114023</t>
  </si>
  <si>
    <t>Kit Cat Goat Milk Gourmet Chicken &amp; Salmon 70g Kit Cat Goat Milk Gourmet Chicken &amp; Whitebait
 70g</t>
  </si>
  <si>
    <t>KCIT230043</t>
  </si>
  <si>
    <t>TCLU4167118, TCLU4073657</t>
  </si>
  <si>
    <t>THD1091807</t>
  </si>
  <si>
    <t>Kit Cat Gravy Series Chicken &amp; Whitebait 70g</t>
  </si>
  <si>
    <t>KCIT230039</t>
  </si>
  <si>
    <t>PPT-35</t>
  </si>
  <si>
    <t>CMAU4898470</t>
  </si>
  <si>
    <t>THD1094182</t>
  </si>
  <si>
    <t>CATIDEA</t>
  </si>
  <si>
    <t>Cat Shampoo 200ml
Foaming Waterless Shampoo
Cat Ultra Deodorizing Spray</t>
  </si>
  <si>
    <t>SA2306PN12</t>
  </si>
  <si>
    <t>PPT-65</t>
  </si>
  <si>
    <t>ESDU4088558</t>
  </si>
  <si>
    <t>EPIRCHNSHA240595</t>
  </si>
  <si>
    <t xml:space="preserve">1250 NON PALLETAIZAITON CHARGES </t>
  </si>
  <si>
    <t>KCIT230322</t>
  </si>
  <si>
    <t>SOYA CLUMP</t>
  </si>
  <si>
    <t>ONEU0374706</t>
  </si>
  <si>
    <t>ONEYTA3DQ4789900</t>
  </si>
  <si>
    <t>Announcment at the Shareek Ceremony</t>
  </si>
  <si>
    <t>SCHESIR AFTER DARK VELVET CAT POUCH MOUSSE CHICKEN 12X80G</t>
  </si>
  <si>
    <t>INNOVATION-CONTAINER#1</t>
  </si>
  <si>
    <t>TCLU1743056</t>
  </si>
  <si>
    <t>ASLTHA2300229</t>
  </si>
  <si>
    <t>SCHESIR AFTER DARK CAT CAN WHOLEFOOD CHICKEN AND DUCK 12X80G</t>
  </si>
  <si>
    <t>INNOVATION-CONTAINER#2</t>
  </si>
  <si>
    <t>TCNU3013558</t>
  </si>
  <si>
    <t>ASLTHA2300230</t>
  </si>
  <si>
    <t>LINDO CAT THE ORIGINAL 10L
LINDO CAT CLASSIC 20L</t>
  </si>
  <si>
    <t>2300000548, 2300000563</t>
  </si>
  <si>
    <t>PPT-80</t>
  </si>
  <si>
    <t>SEGU6107947</t>
  </si>
  <si>
    <t>MEDUJ8520879</t>
  </si>
  <si>
    <t>255, 257, 262</t>
  </si>
  <si>
    <t>ONEU0478207, ONEU1212654, TCLU8487151</t>
  </si>
  <si>
    <t>ONEYGOAD42422700</t>
  </si>
  <si>
    <t>Kit Cat MultiCat Cat Sand 20kg - Baby POWDER</t>
  </si>
  <si>
    <t xml:space="preserve"> KCIT230034B</t>
  </si>
  <si>
    <t>PPT-30</t>
  </si>
  <si>
    <t>FCGU2325097, FCIU2834070, FCIU6459770,
FSCU3388985, FTAU1428190, GLDU3876322,
MAGU2274556, MEDU2233690, MEDU2371066,
MEDU3083830, MEDU3285384, MEDU3913325,
MEDU6010591, MEDU6266027, MSCU6586298,
MSDU1103699, MSDU2100626, MSDU2790434,
TCKU1699320, TGBU2498794, TGBU2694380,
TGBU3090030, TGHU0771263</t>
  </si>
  <si>
    <t>MSC</t>
  </si>
  <si>
    <t>KCIT230034A</t>
  </si>
  <si>
    <t>DFSU1513505, FBIU0390503, GLDU5591313,
MEDU2675515, MEDU2758538,MEDU2998713,
MEDU3030531, MEDU3119716, MEDU3235779,
MEDU6359367, MSDU1164040, MSDU1316349,
MSDU2092198, MSDU2674943, MSMU1249761,
TCKU2381102, TCLU2148886, TCLU3076923,
TEMU0904847, TEMU3727792, TEMU3798040,
TGBU2479618, TLLU3378069</t>
  </si>
  <si>
    <t>Kit Cat Gravy Series Chicken &amp; Whitebait 70G</t>
  </si>
  <si>
    <t>KCIT230310</t>
  </si>
  <si>
    <t>PPT-89</t>
  </si>
  <si>
    <t>MEDU4123794</t>
  </si>
  <si>
    <t>MEDUEX088135</t>
  </si>
  <si>
    <t>Kit Cat Deboned Chicken &amp; Crabstick Toppers 80g</t>
  </si>
  <si>
    <t>KCIT230314</t>
  </si>
  <si>
    <t>TTNU5744786</t>
  </si>
  <si>
    <t>MEDUEX101250</t>
  </si>
  <si>
    <t xml:space="preserve">WITHOUT PALLETS </t>
  </si>
  <si>
    <t>C100 SCHESIR Cat Multipack Can 8X6X50gr Tuna
C135 SCHESIR Cat Can Jelly 56x85 gr Tuna
C2800 SCHESIR Dog Can 16x285 gr Chicken with Carrots</t>
  </si>
  <si>
    <t>PPT-81</t>
  </si>
  <si>
    <t xml:space="preserve"> TCNU6019924</t>
  </si>
  <si>
    <t xml:space="preserve">
ASLTHA2300240</t>
  </si>
  <si>
    <t>TCLU4952620</t>
  </si>
  <si>
    <t>ASLTHA2300241</t>
  </si>
  <si>
    <t>CIAO Sugoi crunchy Tuna Flavor, plus prebiotics
CIAO Sugoi crunchy chicken Flavor plus prebiotics</t>
  </si>
  <si>
    <t xml:space="preserve">INK202311030-004 </t>
  </si>
  <si>
    <t>PPT-79</t>
  </si>
  <si>
    <t>SEGU3026965</t>
  </si>
  <si>
    <t>ASLTHA2300235</t>
  </si>
  <si>
    <t xml:space="preserve">JATCO </t>
  </si>
  <si>
    <t>KCIT230311</t>
  </si>
  <si>
    <t>PPT-90</t>
  </si>
  <si>
    <t>TGHU5119303, MSCU4858186</t>
  </si>
  <si>
    <t>MEDUEX097235</t>
  </si>
  <si>
    <t>LindoCat Advanced Multi-Cat+ 12L
LindoCat Advanced Clumping+ 10L CPK</t>
  </si>
  <si>
    <t>PROFORMA--LAT2023PROF04</t>
  </si>
  <si>
    <t>TCNU2354020, MSMU5451889, TGBU7249449,
MSMU7811388, TRHU8656571, MSCU4978411,
MSMU8297571, MSMU5701530, CAIU7544754,
TCNU1893623, TGCU5141593, MTSU9645510,
MSDU5189788, FFAU2931089, CAIU9049929,
FFAU1150918, MSMU6640188, BMOU6114050,
MSDU7936141, MSMU6343702, MSMU4713808,
MSDU6742943, MSMU5948089, MSMU8497820, 
TRHU5930565</t>
  </si>
  <si>
    <t>MEDUSB159599</t>
  </si>
  <si>
    <t>PLP AFRICAN PARAK.MIX1KG
PLP AFRIC.PARR.MIX 2,5KG</t>
  </si>
  <si>
    <t>2311821, 2311822</t>
  </si>
  <si>
    <t>PPT-67</t>
  </si>
  <si>
    <t>BEAU5069835, SEGU6841462</t>
  </si>
  <si>
    <t>YMJAN851134372</t>
  </si>
  <si>
    <t>PREST.MILLET RED
MILLETSPRAYS 1KG</t>
  </si>
  <si>
    <t>HMMU6498652</t>
  </si>
  <si>
    <t>HDMUANRA68140300</t>
  </si>
  <si>
    <t>EXPERT Large parakeet Middle East 20kg</t>
  </si>
  <si>
    <t>22365513, 22365765, 22365766</t>
  </si>
  <si>
    <t>CXDU2333110, MAGU5780558, TCNU2176036</t>
  </si>
  <si>
    <t>YMJAN851134273</t>
  </si>
  <si>
    <t>Kit Cat Classic Clump Lemon 10L</t>
  </si>
  <si>
    <t>KCIT230037A</t>
  </si>
  <si>
    <t>PPT-33</t>
  </si>
  <si>
    <t>MSDU1687910, MSCU6853012, MSDU2772636,
MEDU2862917, TCLU3205785, TCKU1485606,
SEGU3110340, TRHU1950835, MEDU1003943,
MEDU6471340, CLHU3837029, MEDU6893140,
MEDU2933878, MSCU2571772, MEDU1800130,
MEDU2542030, MEDU3676563, TLLU2123187,
MEDU6605373, BMOU2013740</t>
  </si>
  <si>
    <t>MEDUEG019874</t>
  </si>
  <si>
    <t>KCIT230037B</t>
  </si>
  <si>
    <t>FCIU5798207, FCIU4549215, MSCU6229290,
TCLU2604029, MSCU3269875, TEMU4464345,
CXDU1176525, DFSU1076895, MEDU2714421,
TEMU4877462, TEMU4425539, MEDU3685210,
MEDU1070978, MEDU1112435, MEDU3709862,
MEDU6272586, MSMU2460784, TCKU1174142</t>
  </si>
  <si>
    <t>MEDUEG029154</t>
  </si>
  <si>
    <t>KOCU2195058</t>
  </si>
  <si>
    <t>HDMUBKKA83813500</t>
  </si>
  <si>
    <t>Sanal Cat TopMix 14x50g
Sanal Cat Kitten 20x30g</t>
  </si>
  <si>
    <t>PPT-82</t>
  </si>
  <si>
    <t>MRKU5349072</t>
  </si>
  <si>
    <t>MAEU235100525</t>
  </si>
  <si>
    <t>SFS</t>
  </si>
  <si>
    <t>Applaws Cat Dry 1x7.5kg Kitten Chicken
Applaws Cat Dry 1x7.5kg Adult Chicken with Extra Salmon</t>
  </si>
  <si>
    <t>243676, 243679,  243681, 243682
 243687--243739, 243740, 243741,
 243742, 243743, 243748--240692</t>
  </si>
  <si>
    <t>PPT-84 &amp; PPT-96 &amp; PPT-71</t>
  </si>
  <si>
    <t>CIPU5267229, HASU4420559, MRKU3043400,
MRKU4966130, MRKU5319993, MRKU6031912,
MRSU5113789, MRSU5281057, MRSU6141996,
PONU8169800, TCNU5482019, TRHU4949925</t>
  </si>
  <si>
    <t>MAEU235113207</t>
  </si>
  <si>
    <t>Applaws Cat Dry 3x(1x2kg) Adult Chicken
Applaws Cat Dry 1x7.5kg Adult Chicken</t>
  </si>
  <si>
    <t>240685, 240686, 243677, 243678,
243737, 243738</t>
  </si>
  <si>
    <t>PPT-71
PPT-84
PPT-96</t>
  </si>
  <si>
    <t>HAMU1191821, HAMU1327116, FANU1724120,
FANU1582303, FANU3419785, UACU6055857</t>
  </si>
  <si>
    <t>HLCUBC1231165284</t>
  </si>
  <si>
    <t>PRINCESS FRESH &amp; CLEAN LAVENDER SCENT 10L &amp; 20L</t>
  </si>
  <si>
    <t>166408, 166409, 166410</t>
  </si>
  <si>
    <t>PPT-109</t>
  </si>
  <si>
    <t>DFSU1522873, MEDU1054160, FCIU3878767</t>
  </si>
  <si>
    <t>MEDUSB166834</t>
  </si>
  <si>
    <t>DSV</t>
  </si>
  <si>
    <t>Bavaro Force 28/16 18kg
MiniJunior 15kg, DailyCat 10kg, Marinesse 4,25kg,
JosiCat Crunchy Chicken 18kg, 
JosiCat Crunchy Chicken 18kg, JosiDog Active 15kg</t>
  </si>
  <si>
    <t>570258510,570258611, 570258612, 
570258632, 57028766, 570258907,
570258926</t>
  </si>
  <si>
    <t>PPT-95</t>
  </si>
  <si>
    <t>BSIU9551212, CSLU6262850, CSNU8112727,
OOCU6492742, OOCU7581274, OOLU9732355,
TCNU2036780</t>
  </si>
  <si>
    <t>OOLU2729617660</t>
  </si>
  <si>
    <t>LINDOCAT SUPER CLEAN 10 L
LINDOCAT ADVANCED CARBON PLUS FRESH 8L</t>
  </si>
  <si>
    <t>MSDU4231749</t>
  </si>
  <si>
    <t>MEDUQP335670</t>
  </si>
  <si>
    <t>FS/23/11/0003/EX
FS/23/11/0004/EX</t>
  </si>
  <si>
    <t>MRKU4396104, MRSU3184762</t>
  </si>
  <si>
    <t>1 CONTAINER RECEIVED AT PPTCO
2 CONTAINERS  RECEIVED AT AJEX</t>
  </si>
  <si>
    <t>PPTCO</t>
  </si>
  <si>
    <t>Applaws Cat Tin 1x(24x70g) Kitten - Chicken Breast
Applaws Cat Tin 1x(24x70g) Tuna with Crab</t>
  </si>
  <si>
    <t>244147, 244146, 244148</t>
  </si>
  <si>
    <t>PPT-85</t>
  </si>
  <si>
    <t>$ 1035 &amp; $ 1135</t>
  </si>
  <si>
    <t>MRSU6506517, MRKU4482305, MSKU5271340</t>
  </si>
  <si>
    <t>WORLD ZONE</t>
  </si>
  <si>
    <t>32, 33</t>
  </si>
  <si>
    <t>MRSU3523629, CAAU5294648</t>
  </si>
  <si>
    <t>H700988860</t>
  </si>
  <si>
    <t xml:space="preserve">BAFCO </t>
  </si>
  <si>
    <t>Kit Cat 2nd Chance Plant Based Cat LitterGreen Tea Leaves.</t>
  </si>
  <si>
    <t>KCIT230321</t>
  </si>
  <si>
    <t>PCIU4642478</t>
  </si>
  <si>
    <t>TAPQ40021800</t>
  </si>
  <si>
    <t>RECEIVED AT AJEX</t>
  </si>
  <si>
    <t>Applaws Cat Dry 1x7.5kg Kitten Chicken
Applaws Cat Dry 3x(1x2kg) Kitten Chicken</t>
  </si>
  <si>
    <t xml:space="preserve">
243680, 243686, 243689, 243683, 243684, 243685, 243688--243744, 243750, 243746, 243747  </t>
  </si>
  <si>
    <t>PPT-84, PPT-96</t>
  </si>
  <si>
    <t xml:space="preserve">SPAIN </t>
  </si>
  <si>
    <t>HASU4161545, MIEU3003012, MRKU2488958,
MRKU3437723, MRKU4072363, MRKU5386986,
MRSU3949635, MSKU9500975, SUDU8824931,
TCKU7284640, TGHU6755510</t>
  </si>
  <si>
    <t>MAEU609967294</t>
  </si>
  <si>
    <t>SCHESIR CAT TUNA WHOLE MEAT WITH
SHRIMP AND RICE IN JELLY 56X85 GRS</t>
  </si>
  <si>
    <t>PPT-94</t>
  </si>
  <si>
    <t>APZU4440650</t>
  </si>
  <si>
    <t>THD1121436</t>
  </si>
  <si>
    <t>SCHESIR CAT TUNA WHOLE MEAT WITH
SEABREAM AND RICE IN SOFT JELLY 48X50</t>
  </si>
  <si>
    <t>APZU4784698</t>
  </si>
  <si>
    <t>THD1122166</t>
  </si>
  <si>
    <t>SCHESIR CAT TUNA WHOLE MEAT,RICE
WITH PINEAPPLE IN GEL 56X75 GRS</t>
  </si>
  <si>
    <t>CMAU8058657</t>
  </si>
  <si>
    <t>THD1121423</t>
  </si>
  <si>
    <t>SCHESIR CAT TUNA WHOLE MEAT AND
RICE IN JELLY 48X50 GRS</t>
  </si>
  <si>
    <t>DRYU4225076</t>
  </si>
  <si>
    <t>THD1122130</t>
  </si>
  <si>
    <t>Kit Cat Premium Cat Food Chicken Cuisine 1.2KG</t>
  </si>
  <si>
    <t>KCIT230323</t>
  </si>
  <si>
    <t>Dry Food &amp; Kitty Crunch</t>
  </si>
  <si>
    <t>CMAU7848385</t>
  </si>
  <si>
    <t>THD1127172</t>
  </si>
  <si>
    <t>FS/23/12/0001/EX
FS/23/12/0002/EX</t>
  </si>
  <si>
    <t>MRSU5970689, MTSU9618406</t>
  </si>
  <si>
    <t>900145, 900147</t>
  </si>
  <si>
    <t>INNOVATION-CONTAINER# 3 &amp; 4</t>
  </si>
  <si>
    <t>$ 1800 &amp; $ 2100</t>
  </si>
  <si>
    <t xml:space="preserve">CMAU3197860, MAGU4889420 </t>
  </si>
  <si>
    <t>THD1121502</t>
  </si>
  <si>
    <t>Bavaro Force 28/16 18kg SA</t>
  </si>
  <si>
    <t>570264778, 570265037, 570265043</t>
  </si>
  <si>
    <t>PPT-104</t>
  </si>
  <si>
    <t>MRKU4534271, MRKU5134270, MRSU6242219</t>
  </si>
  <si>
    <t>MAEU236544688</t>
  </si>
  <si>
    <t xml:space="preserve">Dr.CLAUDER </t>
  </si>
  <si>
    <t>DC High Premium Kitten 1,5kg
DC High Premium Kitten 10kg</t>
  </si>
  <si>
    <t>52337205, 52337206, 52337334</t>
  </si>
  <si>
    <t>PPT-101</t>
  </si>
  <si>
    <t>MRKU0480860, MRKU0846986</t>
  </si>
  <si>
    <t>Bavaro Force 18kg
Josera Catelux 400g
Josera Catelux for Cats 10kg</t>
  </si>
  <si>
    <t>570266397, 570266402, 570266405, 570266518</t>
  </si>
  <si>
    <t>FXLU9140611, HLBU3086086, HLBU1068170,
TCLU8230266</t>
  </si>
  <si>
    <t>HLCUHAM240315584</t>
  </si>
  <si>
    <t>OLD W.H</t>
  </si>
  <si>
    <t>Applaws Cat Dry Food Chicken 2kg
Applaws Cat Dry Food Chicken 400g</t>
  </si>
  <si>
    <t>243745, 243749, 244924, 244927, 244932, 244933, 244934, 244937, 244921, 244925, 244926, 244928</t>
  </si>
  <si>
    <t>HASU4406083, MRKU2361428, MRKU3388995,
MRKU3724596, MRSU3413318, MRSU4466014,
MRSU5599069, MRSU6393684, MSKU9671345,
MSKU9725734, SUDU8538774, TCNU4523577</t>
  </si>
  <si>
    <t>MAEU720022790</t>
  </si>
  <si>
    <t>Kit Cat 400g - Kitten Mousse</t>
  </si>
  <si>
    <t>KCIT230315</t>
  </si>
  <si>
    <t>PPT-92</t>
  </si>
  <si>
    <t>CXDU1083551, FCLU9426460, MOFU5843060,
MOFU5843667, TCLU4303024, TLLU6078635</t>
  </si>
  <si>
    <t>ONEYSGZE01587800</t>
  </si>
  <si>
    <t>VERSELE LAGA--BFB</t>
  </si>
  <si>
    <t>Prestige Big Parakeets 4kg</t>
  </si>
  <si>
    <t>TCNU3272435</t>
  </si>
  <si>
    <t>HLCUBUD240201872</t>
  </si>
  <si>
    <t>SCHESIR CAT TUNA WHOLE MEAT AND
RICE WITH CHICKEN IN JELLY 56X85 GRS</t>
  </si>
  <si>
    <t>900338, 900339</t>
  </si>
  <si>
    <t>CMAU1305626</t>
  </si>
  <si>
    <t>THD1128077</t>
  </si>
  <si>
    <t>Kitten 10kg SA, DailyCat 10kg SA,
 Culinesse 15kg SA, MiniJunior 15kg SA</t>
  </si>
  <si>
    <t>570265885, 570265889, 570265891, 570265893</t>
  </si>
  <si>
    <t>BMOU6668730, FANU1291308, FANU1628390,
FANU1976930</t>
  </si>
  <si>
    <t>570268172, 570268179, 570268187, 570268198</t>
  </si>
  <si>
    <t>MSKU0130859, MRKU5344126, MSKU9283627, 
SUDU6569400</t>
  </si>
  <si>
    <t>MAEU236951768</t>
  </si>
  <si>
    <t>2403313, 2403315, 2403314</t>
  </si>
  <si>
    <t>TLLU4948211, YMMU6231365, BEAU4482042</t>
  </si>
  <si>
    <t>YMJAN755256693</t>
  </si>
  <si>
    <t xml:space="preserve">Kit Cat Purr Puree Chicken &amp; Salmon 4x15g
</t>
  </si>
  <si>
    <t>KCIT220345B</t>
  </si>
  <si>
    <t>TCNU7301613</t>
  </si>
  <si>
    <t>THD1128069</t>
  </si>
  <si>
    <t>ARRIVED IN NEW WAREHOSUE</t>
  </si>
  <si>
    <t>INDOOR BEHAVIOR SPRAY CAT 125ML</t>
  </si>
  <si>
    <t>PPT-110</t>
  </si>
  <si>
    <t xml:space="preserve">NETHERLAND </t>
  </si>
  <si>
    <t xml:space="preserve">ROTTERDAM </t>
  </si>
  <si>
    <t>TCNU6591800</t>
  </si>
  <si>
    <t>MAEU237482002</t>
  </si>
  <si>
    <t xml:space="preserve">WORLD ZONE </t>
  </si>
  <si>
    <t>ARRIVED IN AGILITY WAREHOSUE</t>
  </si>
  <si>
    <t>JosiCat Tasty Beef 18kg SA
Poultry-Menu 12,5kg</t>
  </si>
  <si>
    <t>570268792, 570268791</t>
  </si>
  <si>
    <t xml:space="preserve">GERMANY </t>
  </si>
  <si>
    <t>MRKU2146750, MRKU3793180</t>
  </si>
  <si>
    <t>MAEU237327860</t>
  </si>
  <si>
    <t xml:space="preserve">LAROY </t>
  </si>
  <si>
    <t>22416655, 22416656, 22416667, 22416668</t>
  </si>
  <si>
    <t>PPT-116</t>
  </si>
  <si>
    <t>BELGIUM</t>
  </si>
  <si>
    <t>CAIU8310051, HASU4682013, MSKU8674503, 
PONU7786432</t>
  </si>
  <si>
    <t>MAEU237331597</t>
  </si>
  <si>
    <t>GLOBELINK</t>
  </si>
  <si>
    <t xml:space="preserve">ARRIVED IN WAREHOUSE </t>
  </si>
  <si>
    <t>Applaws Cat Pot 1x(10x60g) Juicy Chicken Breast with Duck</t>
  </si>
  <si>
    <t>MSKU0614447</t>
  </si>
  <si>
    <t>MAEU237568127</t>
  </si>
  <si>
    <t>19 CONTAINERS RECEIVED AT PPTCO
5 CONTAINERS RECEIVED AT AJEX</t>
  </si>
  <si>
    <t xml:space="preserve">CAT LITTER, 15L, 5L, 10L, 12L 6L </t>
  </si>
  <si>
    <t>LVS2024000000038</t>
  </si>
  <si>
    <t>VOLU4906066, SLVU4658377, NLLU4172307, 
NLLU4171023, SEGU4863800, TLLU8545699,
SLVU4454408, LTIU8024707, TDRU8411859,
MSCU7492594, SLVU4441890, LTIU8023784,
ECMU9784512, EISU9085400, EMCU9701396,
ECMU9772445, SNBU8263358, SLVU4865482,
MAEU8363756, SLVU4717090, BXAU4520726,
RLXU6261575, TRHU8972625, CULU6273098,</t>
  </si>
  <si>
    <t>4 CONTIANER RECEIVED AT PPTCO
11 CONTAINERS RECEIVED AT AJEX</t>
  </si>
  <si>
    <t>LAT2024000000686</t>
  </si>
  <si>
    <t xml:space="preserve">BXAU4503631, VPLU5108360, SLVU4666731,
TLLU7782274, SLVU4713788, VOLU4945268,
CULU6091730, VPLU5108740, TGCU5341354,
XHCU5291820, CULU6227847,CULU6049787,
SLVU4878108, CULU6037050, CULU6227425, </t>
  </si>
  <si>
    <t>24ISTJED0329</t>
  </si>
  <si>
    <t>AJEX</t>
  </si>
  <si>
    <t>SC-01 Ball Shape bentonite cat litter
 1-3.5mm 8KG</t>
  </si>
  <si>
    <t>SC24122000401Z01</t>
  </si>
  <si>
    <t>ESDU2216140, ESDU2229209, ESDU2229220,
ESDU2229261, ESDU2229847, ESDU2229852,
ESDU2229908, ESDU2229913, ESDU2229929,
ESDU2229934, ESDU2229940,ESDU2229955,
ESDU2229960, ESDU2229976</t>
  </si>
  <si>
    <t>ESLCHNXNA2015769</t>
  </si>
  <si>
    <t>TSNA98708</t>
  </si>
  <si>
    <t>RECEIVED AT AGILITY</t>
  </si>
  <si>
    <t>2403745, 2403746, 2403747</t>
  </si>
  <si>
    <t>HLXU8365687, HLBU1643691, TCNU8939650</t>
  </si>
  <si>
    <t>HLCURTM240267420</t>
  </si>
  <si>
    <t xml:space="preserve">CODICO </t>
  </si>
  <si>
    <t>BAB'IN SIGNATURE MINI JUNIOR 2 KG
BAB'IN SIGNATURE MEDIUM JUNIOR 3 KG
BAB'IN SIGNATURE MEDIUM JUNIOR 12 KG</t>
  </si>
  <si>
    <t>FA2410192</t>
  </si>
  <si>
    <t xml:space="preserve">MARSEILLE </t>
  </si>
  <si>
    <t>TCLU5189750</t>
  </si>
  <si>
    <t>MEDUF5051729</t>
  </si>
  <si>
    <t>FS/24/01/0002/EX
FS/24/01/0003/EX
FS/24/01/0004/EX</t>
  </si>
  <si>
    <t>BMOU4607993, TCNU1787128, FANU3054202</t>
  </si>
  <si>
    <t>SC-03 Activated carbon bentonite cat litter 1-3.5mm--20KG</t>
  </si>
  <si>
    <t>SC24122000401Z02</t>
  </si>
  <si>
    <t>ESDU1264798, RFSU2030296, RFSU2031250,
RFSU2031841, RFSU2035410, TCKU2110245,
TCKU2112422, TEMU2937388, TEMU3412223,
TGHU0614808, TGHU1421629, TGHU1725935,
TGHU1971163, TRHU1601561</t>
  </si>
  <si>
    <t>EPIRCHNXNA209484</t>
  </si>
  <si>
    <t>TSNA98786</t>
  </si>
  <si>
    <t>Applaws Cat Dry 3x(1x2kg) Adult Chicken with Extra Duck</t>
  </si>
  <si>
    <t>244923, 244929, 244930, 244931, 244935, 244936,
 944922</t>
  </si>
  <si>
    <t>PPT-112</t>
  </si>
  <si>
    <t xml:space="preserve">MRKU3890489, MSKU9762532, MSKU0924123,
MRKU6419364, TCNU6664070, MRKU4787156,
MRSU3857586
</t>
  </si>
  <si>
    <t>MAEU720043563</t>
  </si>
  <si>
    <t>FS/24/02/0003/EX
FS/24/02/0004/EX
FS/24/02/0005/EX</t>
  </si>
  <si>
    <t>CAIU8317230, MRKU6014350, MRSU6301081</t>
  </si>
  <si>
    <t>MAEU236511234</t>
  </si>
  <si>
    <t>AJEX !!</t>
  </si>
  <si>
    <t>Applaws Cat Dry 3x(1x2kg) Adult Chicken
Applaws Cat Dry 3x(1x2kg)Senior Chicken</t>
  </si>
  <si>
    <t>246451, 246452, 246453, 246454, 246457, 246459, 246455, 246456, 246458,246460, 246466,246468, 246469, 246464, 246465, ---244919, 244920</t>
  </si>
  <si>
    <t xml:space="preserve">HAMU1266350, HAMU1449006, TGHU9421651,
HLD0169020, TXGU7177418, BSIU8293509, 
TGBU6121807, HLBU3236627, FANU3560176,
CAAU6699281, BSIU8304033, TCLU9126343,
UACU5775770, UACU5245488, CAIU8370359,
FCIU7498791, CAAU6356359, FANU3553840,
</t>
  </si>
  <si>
    <t>BIOSAND CAT LITTER SUPERCLUMP WHITE 15L
BIOSAND CAT LITTER SUPERCLUMP WHITE 10L</t>
  </si>
  <si>
    <t>94, 95, 97, 98, 99</t>
  </si>
  <si>
    <t>MRKU5075140, TCLU9306448, MSKU9531641,  
MRSU3686138, TCLU5643836</t>
  </si>
  <si>
    <t>MAEU238207074</t>
  </si>
  <si>
    <t>Sanal Dog Chicken Filet doypack 12x80g</t>
  </si>
  <si>
    <t>PPT-117</t>
  </si>
  <si>
    <t>PCIU0196700</t>
  </si>
  <si>
    <t>TAPQ40070100</t>
  </si>
  <si>
    <t>GARDEN BITES</t>
  </si>
  <si>
    <t>HMMU2139757</t>
  </si>
  <si>
    <t>OC-3030--1004893</t>
  </si>
  <si>
    <t>TCKU7391818</t>
  </si>
  <si>
    <t>OOLU2735823070</t>
  </si>
  <si>
    <t>Kit Cat Atlantic Tuna With Tender Chicken 400g</t>
  </si>
  <si>
    <t>KCIT230390</t>
  </si>
  <si>
    <t>PPT-105</t>
  </si>
  <si>
    <t>MSNU7280860, CAIU9026902, MEDU8829644,
TEMU8352636, TGBU5673340, CRSU9182670</t>
  </si>
  <si>
    <t>MEDUEX534609</t>
  </si>
  <si>
    <t>FA2411327, FA2411328</t>
  </si>
  <si>
    <t>MSMU6383881</t>
  </si>
  <si>
    <t>MEDUF5069226</t>
  </si>
  <si>
    <t>CHICKEN FILLET 70G, CHICKEN WINGS 100G, CHEW DRUM STICK WTH CHICKEN X7</t>
  </si>
  <si>
    <t>OC-2990---1007892</t>
  </si>
  <si>
    <t>PPT-98</t>
  </si>
  <si>
    <t>WFHU1458511</t>
  </si>
  <si>
    <t>HDMUTAOA96512400</t>
  </si>
  <si>
    <t xml:space="preserve">CAT LITTER TRAY, TWIN FEEDING BOWL </t>
  </si>
  <si>
    <t>TVI20240000000</t>
  </si>
  <si>
    <t>TRHU8633792, CXDU1678930</t>
  </si>
  <si>
    <t>IZT-JED-9643</t>
  </si>
  <si>
    <t>INABA Churu Tuna 4x14g</t>
  </si>
  <si>
    <t>INK202403030-001</t>
  </si>
  <si>
    <t>PPT-111</t>
  </si>
  <si>
    <t>TRHU7383261, TRHU5853073</t>
  </si>
  <si>
    <t>ONEYBKKEB0622700</t>
  </si>
  <si>
    <t>CAT ANTI HAIRBALL BITES CUP 6X75g
CAT CHEESE BITES CUP 6X75g</t>
  </si>
  <si>
    <t>PPT-115</t>
  </si>
  <si>
    <t>MSKU8388460</t>
  </si>
  <si>
    <t>MAEU238618429</t>
  </si>
  <si>
    <t>WHSU5772493</t>
  </si>
  <si>
    <t>035EX19284</t>
  </si>
  <si>
    <t>KTLTH00001733</t>
  </si>
  <si>
    <t>Big Twin Feeding Bowl - Soft Green
Brownie Series (Rectangle) L Black</t>
  </si>
  <si>
    <t>PROFORMA--23/SAR/001</t>
  </si>
  <si>
    <t>PPT-100</t>
  </si>
  <si>
    <t>CLNU3006247</t>
  </si>
  <si>
    <t>IZT-JED-6353</t>
  </si>
  <si>
    <t>FA2412679, FA2413095</t>
  </si>
  <si>
    <t>MSDU6357870, MSCU3487774</t>
  </si>
  <si>
    <t>MEDUF5069267</t>
  </si>
  <si>
    <t>1x40' &amp; 1x20'</t>
  </si>
  <si>
    <t xml:space="preserve">CRUNCHY STICKS </t>
  </si>
  <si>
    <t>OC-3019---1011747</t>
  </si>
  <si>
    <t>PPT-118</t>
  </si>
  <si>
    <t>CAAU6546256</t>
  </si>
  <si>
    <t>MAEU239072597</t>
  </si>
  <si>
    <t>WORLDZONE</t>
  </si>
  <si>
    <t>Kit Cat Deboned Chicken &amp; Whitebait 
Toppers 80g</t>
  </si>
  <si>
    <t>KCIT230312</t>
  </si>
  <si>
    <t>BMOU5924328, GESU6823802</t>
  </si>
  <si>
    <t>MEDUEX530755</t>
  </si>
  <si>
    <t>Kit Cat Goat Milk Gourmet Chicken &amp; Salmon 70g</t>
  </si>
  <si>
    <t>KCIT230313</t>
  </si>
  <si>
    <t>PPT-91</t>
  </si>
  <si>
    <t>MSMU6545982, TGHU6194410</t>
  </si>
  <si>
    <t>MEDUEX561560</t>
  </si>
  <si>
    <t>PRINCESS MAINTENANCE 15KG
PRINCESS TEMPTATION 20KG</t>
  </si>
  <si>
    <t>PPT-141</t>
  </si>
  <si>
    <t xml:space="preserve">BOSNIA </t>
  </si>
  <si>
    <t>SARAJEVO</t>
  </si>
  <si>
    <t>???</t>
  </si>
  <si>
    <t>MEDU4519419</t>
  </si>
  <si>
    <t>MEDURZ310018</t>
  </si>
  <si>
    <t xml:space="preserve">GLOBE LINK </t>
  </si>
  <si>
    <t>JosiDog Game in Sauce 3x4x415g DIR</t>
  </si>
  <si>
    <t>PPT-99</t>
  </si>
  <si>
    <t>HASU4465168</t>
  </si>
  <si>
    <t>MAEU239648650</t>
  </si>
  <si>
    <t>DSV Dry</t>
  </si>
  <si>
    <t>Felyn Go 10 liter rollbag_Aloe Vera
Felyn Go 10 liter rollbag_Unscented</t>
  </si>
  <si>
    <t>LAT2024000001457</t>
  </si>
  <si>
    <t>CULU6053452, CULU6097770, CULU6209313,
CULU6221704, DFSU6994471, SEGU6295660,
SLVU4452405, SLVU4524038, TCLU9233017,
VOLU4521383, VOLU4924630, VOLU4974610,
CULU6183203, DFSU6441840, HDMU6733795, 
PCIU8111340, UETU5438218, VOLU4901486,
BSIU8336365, BSIU8336431, CAIU7974441,
CICU2261340, SEGU4044747, CULU6092778,
SEGU6325229, TGCU5327145, TGCU5355893,
UETU5882855</t>
  </si>
  <si>
    <t>24TRIZMJED0808</t>
  </si>
  <si>
    <t>NON</t>
  </si>
  <si>
    <t>KCIT230391</t>
  </si>
  <si>
    <t>PPT-106</t>
  </si>
  <si>
    <t>MSCU5645652, MEDU4316983</t>
  </si>
  <si>
    <t>MEDUEX624012</t>
  </si>
  <si>
    <t>Kit Cat Freeze Dried Yogurt Yums Apple 
10x1g</t>
  </si>
  <si>
    <t>KCIT230403</t>
  </si>
  <si>
    <t>PPT-108</t>
  </si>
  <si>
    <t>TTNU1195559</t>
  </si>
  <si>
    <t>TSNA00765000</t>
  </si>
  <si>
    <t>PREST.MILLET RED 100G
NB A21 250G</t>
  </si>
  <si>
    <t>59058, 59059, 59060, 59061</t>
  </si>
  <si>
    <t>2400046, 2400047</t>
  </si>
  <si>
    <t>CIPU5194312, HASU4237492, MRKU5761876,
MSKU8532480</t>
  </si>
  <si>
    <t>MAEU239742521</t>
  </si>
  <si>
    <t xml:space="preserve">HC CONTAINER </t>
  </si>
  <si>
    <t>Bavaro Work 26/12 18kg SA
Culinesse 10kg SA</t>
  </si>
  <si>
    <t>570278103, 570278109, 
570278275,570278277, 570278502, 570278513</t>
  </si>
  <si>
    <t>PPT-135</t>
  </si>
  <si>
    <t>MSMU5106780, MSMU4558194, CAIU4866715,
TCNU2784210, CAIU4777813, MSDU5299996</t>
  </si>
  <si>
    <t>MEDUFV261203</t>
  </si>
  <si>
    <t xml:space="preserve">900935-------2112400744-1 to 4 </t>
  </si>
  <si>
    <t>PPT-131</t>
  </si>
  <si>
    <t>WHSU5886881</t>
  </si>
  <si>
    <t>035EX28953</t>
  </si>
  <si>
    <t>Kit Cat Petite Pouch 70g - Tuna &amp; Saba X24pcs</t>
  </si>
  <si>
    <t>KCIT230328</t>
  </si>
  <si>
    <t>PPT-93</t>
  </si>
  <si>
    <t>TEMU8318415</t>
  </si>
  <si>
    <t>MEDUEX688223</t>
  </si>
  <si>
    <t>900938, 900942</t>
  </si>
  <si>
    <t>WHSU6166567, WHSU6599042</t>
  </si>
  <si>
    <t>035EX26992</t>
  </si>
  <si>
    <t>KCIT230390A</t>
  </si>
  <si>
    <t>TXGU5286451, FFAU4021299, CAAU6499220,
REGU5102810, CAAU5981860, TCNU6655525</t>
  </si>
  <si>
    <t>SGZCB24000892</t>
  </si>
  <si>
    <t>1026476---OC-3032</t>
  </si>
  <si>
    <t>PPT-121</t>
  </si>
  <si>
    <t>MEDU3978033</t>
  </si>
  <si>
    <t>TOP 10 CAT 180TAB GB/ARA/TR
MULTI VIT PASTE CAT 100G EN/TR/AR
LACTOL KITTEN 250G EN/AR/BG</t>
  </si>
  <si>
    <t>PPT-139</t>
  </si>
  <si>
    <t>SEKU4711926</t>
  </si>
  <si>
    <t>MAEU244151660</t>
  </si>
  <si>
    <t>Churu Tuna Recipe
Churu Tuna with Chicken Recipe</t>
  </si>
  <si>
    <t>INK202408030-002</t>
  </si>
  <si>
    <t>PPT-153</t>
  </si>
  <si>
    <t>WHSU5944294, WHSU5381879</t>
  </si>
  <si>
    <t>035EX56334</t>
  </si>
  <si>
    <t>Kit Cat SoyaClump Kitten Litter 7L (Baby Powder)</t>
  </si>
  <si>
    <t>KCIT240119</t>
  </si>
  <si>
    <t>PPT-148</t>
  </si>
  <si>
    <t>PCIU9335896</t>
  </si>
  <si>
    <t>TAPQ40213100</t>
  </si>
  <si>
    <t>FS/24/04/0001/EX
FS/24/04/0002/EX
FS/24/05/0002/EX
FS/24/05/0001/EX</t>
  </si>
  <si>
    <t xml:space="preserve">TCLU8125419, TCNU3707625, UACU5712643 </t>
  </si>
  <si>
    <t>Dr.CLAUDER</t>
  </si>
  <si>
    <t>MSMU6278510</t>
  </si>
  <si>
    <t>MEDUFV598422</t>
  </si>
  <si>
    <t>HEALTH &amp; HAPPINESS</t>
  </si>
  <si>
    <t>KATZ-N-FLOCKEN LAMB 6/4 LB
HOLISTIQUE BLENDZ OATMEAL SR 6/4 LB
WINGED TIGER QUAIL GF 6/3 LB</t>
  </si>
  <si>
    <t>IV-UK-00172081</t>
  </si>
  <si>
    <t>C00009083</t>
  </si>
  <si>
    <t>RIVERSIDE</t>
  </si>
  <si>
    <t xml:space="preserve">MSMU7609079, MSDU6971370, BMOU4314296, </t>
  </si>
  <si>
    <t>MEDUHM206015</t>
  </si>
  <si>
    <t>Applaws Cat Tin 1x(24x70g) Chicken Breast with Cheese</t>
  </si>
  <si>
    <t xml:space="preserve">246532, 246534 </t>
  </si>
  <si>
    <t>GESU6601718, BMOU3010848</t>
  </si>
  <si>
    <t>MEDUEX918315</t>
  </si>
  <si>
    <t>153, 154, 167, 168, 169</t>
  </si>
  <si>
    <t>CMAU5812589, TEMU6014080, CMAU7847012,
CAIU8277328, APHU6486004</t>
  </si>
  <si>
    <t>GEN1737460</t>
  </si>
  <si>
    <t>NASTA PET FOOD</t>
  </si>
  <si>
    <t>Med. Diet cer/pat sacco 1,5 kg Scd
Mini Maint agn/riso sacco da 2 kg Scm</t>
  </si>
  <si>
    <t>37/EXUE, 47/EXUE, 67/EXUE</t>
  </si>
  <si>
    <t>FORZA 10</t>
  </si>
  <si>
    <t xml:space="preserve">VENEZIA </t>
  </si>
  <si>
    <r>
      <rPr>
        <rFont val="Arial"/>
        <color theme="1"/>
      </rPr>
      <t>CAXU7295191</t>
    </r>
    <r>
      <rPr>
        <rFont val="Arial"/>
        <color theme="1"/>
      </rPr>
      <t xml:space="preserve">, </t>
    </r>
    <r>
      <rPr>
        <rFont val="Arial"/>
        <color theme="1"/>
      </rPr>
      <t>MSDU4458244</t>
    </r>
    <r>
      <rPr>
        <rFont val="Arial"/>
        <color theme="1"/>
      </rPr>
      <t xml:space="preserve">, </t>
    </r>
    <r>
      <rPr>
        <rFont val="Arial"/>
        <color theme="1"/>
      </rPr>
      <t>TRLU4716027</t>
    </r>
  </si>
  <si>
    <t>MEDUJ9737837</t>
  </si>
  <si>
    <t>ARCHIE - Cardboard scratcher lounge 2st
FAYE - Cardboard scratcher playground</t>
  </si>
  <si>
    <t>IZMIT</t>
  </si>
  <si>
    <t>BEAU4468189</t>
  </si>
  <si>
    <t>24ISTJED0370</t>
  </si>
  <si>
    <t>52430487, 52430489</t>
  </si>
  <si>
    <t>BEAU5749874, CAAU6775720</t>
  </si>
  <si>
    <t>DUSA65499</t>
  </si>
  <si>
    <t>22419783, 22419784</t>
  </si>
  <si>
    <t>GCXU5547185, TCNU7890581</t>
  </si>
  <si>
    <t>MAEU237730681</t>
  </si>
  <si>
    <t>NUTRIENT  BOOST  BARKING AT THE MOON
BEEF 3.75 LB</t>
  </si>
  <si>
    <t>IV-UK-00168200</t>
  </si>
  <si>
    <t>SOLID GOLD</t>
  </si>
  <si>
    <t>MSCU4979871</t>
  </si>
  <si>
    <t>MEDUVD856625</t>
  </si>
  <si>
    <t>FS/24/03/0002/EX
FS/24/03/0003/EX
FS/24/03/0004/EX</t>
  </si>
  <si>
    <t>MRKU3152633, MRSU4728243, MRKU2588068</t>
  </si>
  <si>
    <t>MAEU237729286</t>
  </si>
  <si>
    <t>SUE - Slow feeder "drop" 750ml - 20x20x4,5cm brown</t>
  </si>
  <si>
    <t>XIAMEN</t>
  </si>
  <si>
    <t>CSLU1764182</t>
  </si>
  <si>
    <t>OOLU2736900550</t>
  </si>
  <si>
    <t>22430377, 22430401, 22430372</t>
  </si>
  <si>
    <t>PPT-136</t>
  </si>
  <si>
    <t>TEMU7468508, GESU6464050, CMAU8557635</t>
  </si>
  <si>
    <t>ANT1789215</t>
  </si>
  <si>
    <t>BARRY - Bear kicking cushion 2st - 13x5x3cm
FINN - Fish kicking cushion 2st - 20x6x3cm Multicolour</t>
  </si>
  <si>
    <t>22427634, 22428360</t>
  </si>
  <si>
    <t>TCLU2238887</t>
  </si>
  <si>
    <t>ASDSHA2400930</t>
  </si>
  <si>
    <t>RFSZE24050041</t>
  </si>
  <si>
    <t xml:space="preserve"> Kit Cat Classic Clump Lavender 10L</t>
  </si>
  <si>
    <t>KCIT240067</t>
  </si>
  <si>
    <t>PPT-133</t>
  </si>
  <si>
    <t>HASU1002961, HASU1118801, MRKU7096939,
MRKU7953409, MRKU8023182, MRKU9377196,
MSKU3688377, MSKU7035323, MSKU7149286,
MSKU7275432, MSKU7448862, STJU2000328,
SUDU7371888, SUDU7754845, SUDU7786210,
SUDU7854274, TGHU3986727, TTNU1102793,
TTNU1249629, UETU2075757</t>
  </si>
  <si>
    <t>570278953, 570278955, 570279053, 570279055,
570279236</t>
  </si>
  <si>
    <t>FCIU8927530, UETU6045241, MSMU4537606,
TGBU9901113, CAIU9815942</t>
  </si>
  <si>
    <t>MEDUFV265337</t>
  </si>
  <si>
    <t>JosiCat Tasty Beef 18kg SA
JosiCat Crispy Duck 18kg SA</t>
  </si>
  <si>
    <t>570279590, 570279591, 570279767, 570279769,
570279908</t>
  </si>
  <si>
    <t>TGBU9600399, MSMU5846106, MSMU8036860,
MSDU7790170, MEDU4454576</t>
  </si>
  <si>
    <t>MEDUFV265592</t>
  </si>
  <si>
    <t>DEAN - Open cat toilet 54,4x43,9x40,5cm  
display mixed colors</t>
  </si>
  <si>
    <t>TCKU6432640</t>
  </si>
  <si>
    <t>MAEU241703799</t>
  </si>
  <si>
    <t>Yogurt NATURAL DOG 115g in box 10 pieces
Yogurt SKIN AND HAIR DOG Box 10 pieces</t>
  </si>
  <si>
    <t>FI24/22</t>
  </si>
  <si>
    <t xml:space="preserve">MADRID </t>
  </si>
  <si>
    <t>GLDU5720940</t>
  </si>
  <si>
    <t>Kit Cat Chicken Mousse &amp; Tuna Toppers 80g</t>
  </si>
  <si>
    <t>KCIT230392</t>
  </si>
  <si>
    <t>PPT-107</t>
  </si>
  <si>
    <t>TCNU8497959</t>
  </si>
  <si>
    <t>THD1177451</t>
  </si>
  <si>
    <t>PPT-124</t>
  </si>
  <si>
    <t>TGBU5710422</t>
  </si>
  <si>
    <t>MEDUVJ637176</t>
  </si>
  <si>
    <t>CRISPY MUESLI GUINEA PIGS 1KG
CRISPY MUESLI RABBITS 2,75KG</t>
  </si>
  <si>
    <t>CSNU8474583</t>
  </si>
  <si>
    <t>COSU8040082800</t>
  </si>
  <si>
    <t>WOODEN SWING WITH METAL CHAIN
PLASTIC SWING WITH TOYS</t>
  </si>
  <si>
    <t>1018168---OC-3050</t>
  </si>
  <si>
    <t>OOCU0696712</t>
  </si>
  <si>
    <t>OOLU2739568841</t>
  </si>
  <si>
    <t>Kit Cat MultiCat Cat Sand 20kg - Charcoal</t>
  </si>
  <si>
    <t>KCIT240066</t>
  </si>
  <si>
    <t>BMOU2236785, CAIU3607730, CAIU3787273,
GLDU5445216, HASU1470366, MRKU6557677,
MRKU6882430, MRKU7245884, MRKU8240589,
MRKU8493910, MRKU8506977, MRKU9404882,
MRKU9504264, MRKU9592368, MRKU9931796,
MRKU9961682, MRKU9997330, MRSU0114838,
MSKU3769078, MSKU3841547, MSKU3916918,
MSKU4488060, MSKU5467380, MSKU5521500,
MSKU7764876, MSKU7982754, SUDU1353845,
SUDU1432841, SUDU7371609, SUDU7700725,
SUDU7891004, TCLU2481541, TRHU3990776</t>
  </si>
  <si>
    <t>246531--PCI</t>
  </si>
  <si>
    <t>CSLU5166424</t>
  </si>
  <si>
    <t>246530, 246537--AAI</t>
  </si>
  <si>
    <t>CBHU7086970, OOCU8730095</t>
  </si>
  <si>
    <t>JILL - Placemat 40x40x0,8cm black
JESS - Cat basket 45x45x7cm black
MAEVE - Round plaid 50x50x1cm black/white
OLIVER - Bed &amp; radiator hammock 45x35x10cm grey</t>
  </si>
  <si>
    <t>22435480, 22435481</t>
  </si>
  <si>
    <t>TEMU1368646</t>
  </si>
  <si>
    <t>MEDUHU892087</t>
  </si>
  <si>
    <t>901052, 901051, 901050</t>
  </si>
  <si>
    <t>PPT-130</t>
  </si>
  <si>
    <t>TCLU7856893, TCLU9254719, TCNU3043090</t>
  </si>
  <si>
    <t>ASLTHA2400461</t>
  </si>
  <si>
    <t>901163, 901164, 901165</t>
  </si>
  <si>
    <t>TEMU6275058, TRHU4628036</t>
  </si>
  <si>
    <t>TECHLA XS WHITE ENGRAVING MACHINE</t>
  </si>
  <si>
    <t>3095, 3956, 42</t>
  </si>
  <si>
    <t>MRKU7681297</t>
  </si>
  <si>
    <t>MAEU242120144</t>
  </si>
  <si>
    <t>Yes</t>
  </si>
  <si>
    <t>PRATIKO 3 METAL MIX COL.
PRATIKO 3 OPEN MIX COL</t>
  </si>
  <si>
    <t>432, 433</t>
  </si>
  <si>
    <t>MRKU3447906, MRSU4756749</t>
  </si>
  <si>
    <t>MAEU239659630</t>
  </si>
  <si>
    <t xml:space="preserve">GLOBELINK </t>
  </si>
  <si>
    <t>BUFFY CAT TOILET</t>
  </si>
  <si>
    <t>TRHU4666988</t>
  </si>
  <si>
    <t>MAEU241646233</t>
  </si>
  <si>
    <t xml:space="preserve">MP BERGAMO </t>
  </si>
  <si>
    <t>LETTIERA JULIET GRIGIO GR12 + COR VE18
BEVERINO AZZURRO 110 ML</t>
  </si>
  <si>
    <t>316A, 318A, 319A</t>
  </si>
  <si>
    <t>PPT-144</t>
  </si>
  <si>
    <t>FFAU2084195, MSBU5085981, MSMU8221621</t>
  </si>
  <si>
    <t>MEDUJ9975593</t>
  </si>
  <si>
    <t>RODYWOOD NATURE LITTER 16L, 35L, 60L</t>
  </si>
  <si>
    <t>OC-3049--1026109</t>
  </si>
  <si>
    <t>MSDU7788419</t>
  </si>
  <si>
    <t>MEDUF5568227</t>
  </si>
  <si>
    <t>2404082, 2404083</t>
  </si>
  <si>
    <t>TRHU5751997, SEKU5485274</t>
  </si>
  <si>
    <t>RTM9230476</t>
  </si>
  <si>
    <t>MAYA DOUBLE S MIX COL
SKUDO 1 IATA MPS GREY
BUFFY CAT TOILET</t>
  </si>
  <si>
    <t>657, 658</t>
  </si>
  <si>
    <t xml:space="preserve">VENICE </t>
  </si>
  <si>
    <r>
      <rPr>
        <rFont val="Arial"/>
        <color theme="1"/>
      </rPr>
      <t>BEAU4172432</t>
    </r>
    <r>
      <rPr>
        <rFont val="Arial"/>
        <color theme="1"/>
      </rPr>
      <t>, CAIU8518702</t>
    </r>
  </si>
  <si>
    <t>HLCUGOA2407ASEG2</t>
  </si>
  <si>
    <t>DSV DRY</t>
  </si>
  <si>
    <t>PARATIKO 2  PLASTICA MIX COL BCA
KLASS 80</t>
  </si>
  <si>
    <t>SEGU6889635</t>
  </si>
  <si>
    <t>HLCUGOA2407BAKB9</t>
  </si>
  <si>
    <t>2300000389, 2300000390</t>
  </si>
  <si>
    <t>CULU6066378, ROLU8349703</t>
  </si>
  <si>
    <t>TOILETTE CATHY BLU ACCIAIO/BIANCO
TOILETTE FURBA CHIC MAXI TORTORA</t>
  </si>
  <si>
    <t>301352, 301364</t>
  </si>
  <si>
    <t>PPT-142</t>
  </si>
  <si>
    <t>MRKU0886166, GCXU5722272</t>
  </si>
  <si>
    <t>MAEU242922429</t>
  </si>
  <si>
    <t>EXPERT Large parakeet Middle East 20kg
EGGFOOD CANARY 1KG P480</t>
  </si>
  <si>
    <t>22446777, 22446783</t>
  </si>
  <si>
    <t>SEKU4482938, MRKU2638430</t>
  </si>
  <si>
    <t>MAEU243433273</t>
  </si>
  <si>
    <t>246398(OCEAN FISH)
246463, 246461,246462, 246467, 246470</t>
  </si>
  <si>
    <t>TCNU9875837, HASU5087530, TCKU6779500,
FFAU1920840, MRKU5481601, MRSU3730293</t>
  </si>
  <si>
    <t>MAEU242618537</t>
  </si>
  <si>
    <t>PRESSED BONE 5CM X 10
FLUORINE PRESSED BONE 8CM X4</t>
  </si>
  <si>
    <t>1031178---OC-3071</t>
  </si>
  <si>
    <t>PPT-143</t>
  </si>
  <si>
    <t>OOLU1843727</t>
  </si>
  <si>
    <t>OOLU2150477810</t>
  </si>
  <si>
    <t>GLOBAL LINK</t>
  </si>
  <si>
    <t>ZP SMARTSELECTS CAN&amp;FICH 12/2LB,
ZP SENSIBLE SEED LARGE 12/2LB</t>
  </si>
  <si>
    <t>MRKU9721059</t>
  </si>
  <si>
    <t>MAEU720277194</t>
  </si>
  <si>
    <t>FFAU4768983</t>
  </si>
  <si>
    <t>Kit Cat FD Yogurt Yums Apple 10 counts x 1G</t>
  </si>
  <si>
    <t>KCIT240098</t>
  </si>
  <si>
    <t>PPT-138</t>
  </si>
  <si>
    <t>EITU0424580</t>
  </si>
  <si>
    <t>MRSU3923034</t>
  </si>
  <si>
    <t>MAEU243187004</t>
  </si>
  <si>
    <t>LindoCat Prestige - Cat Litter 10L
Lindocat Double Action - Cat Litter 5L</t>
  </si>
  <si>
    <r>
      <rPr>
        <rFont val="Arial"/>
        <color theme="1"/>
      </rPr>
      <t xml:space="preserve">LAT2024000002707, LAT2024000002705,
LAT2024000002704, LAT2024000002706,
LAT2024000002703
</t>
    </r>
    <r>
      <rPr>
        <rFont val="Arial"/>
        <b/>
        <color theme="1"/>
      </rPr>
      <t>(SECOND LOT)</t>
    </r>
  </si>
  <si>
    <t>PPT-163</t>
  </si>
  <si>
    <t>CULU6247503, HPCU4111899, KSBU0061114,
CULU6046094, EMCU9847478</t>
  </si>
  <si>
    <t>MLTRLS2420528</t>
  </si>
  <si>
    <t>LindoCat Prestige - Cat Litter 10L
Lindocat Super Premium unscented 6L</t>
  </si>
  <si>
    <r>
      <rPr>
        <rFont val="Arial"/>
        <color theme="1"/>
      </rPr>
      <t xml:space="preserve">LAT2024000002576, LAT2024000002577,
LAT2024000002578, LAT2024000002579,
LAT2024000002580
</t>
    </r>
    <r>
      <rPr>
        <rFont val="Arial"/>
        <b/>
        <color theme="1"/>
      </rPr>
      <t>(FIRST LOT)</t>
    </r>
  </si>
  <si>
    <t>PONU7952235, CXDU1113701, SLVU4654849,
BSIU8332040, BXAU4511540</t>
  </si>
  <si>
    <t>170195, 170196, 170197</t>
  </si>
  <si>
    <t>PPT-150</t>
  </si>
  <si>
    <t>CULU1929202, UETU2907230, TCKU3295668</t>
  </si>
  <si>
    <t>MRKU6305778</t>
  </si>
  <si>
    <t>MAEU243783527</t>
  </si>
  <si>
    <t>2 PLT</t>
  </si>
  <si>
    <t>ALLERGY IMMUNE BITES LAMB 90CT</t>
  </si>
  <si>
    <t>ZP01854087</t>
  </si>
  <si>
    <t>ZESTY</t>
  </si>
  <si>
    <t>TRHU7911800</t>
  </si>
  <si>
    <t>PALLETS</t>
  </si>
  <si>
    <t xml:space="preserve">SHIPMET WAS ON HOLD BY USA CUSTOMS FOR MORE THAN A MONTH </t>
  </si>
  <si>
    <t>FS/24/07/0001/EX
FS/24/06/0003/EX
FS/24/06/0002/EX</t>
  </si>
  <si>
    <t>TIIU4535746, MEDU7592917, TCNU1926481</t>
  </si>
  <si>
    <t>LAT2024000002933, LAT2024000002934,
LAT2024000002935, LAT2024000002936,
 LAT2024000002937</t>
  </si>
  <si>
    <t>GEZBE</t>
  </si>
  <si>
    <t>TGHU9178623, GESU6226324, CRSU9299455,
TGHU9164194, NLLU4205648</t>
  </si>
  <si>
    <t xml:space="preserve">LCLIZTJED2400016 </t>
  </si>
  <si>
    <t xml:space="preserve">NOBLE </t>
  </si>
  <si>
    <t>JosiDog Beef in Sauce 3x4x415g DIR
JosiCat Beef in jelly 3x4x400g</t>
  </si>
  <si>
    <t>WETFOOD</t>
  </si>
  <si>
    <t>TCNU3010965</t>
  </si>
  <si>
    <t>MAEU245198492</t>
  </si>
  <si>
    <t>BETA MAXI PLUS MIX COL PET PR.TRADING
KOMODA MIX COL. BCA</t>
  </si>
  <si>
    <t>TLLU6906088</t>
  </si>
  <si>
    <t>MAEU244976959</t>
  </si>
  <si>
    <t>5470124A</t>
  </si>
  <si>
    <r>
      <rPr>
        <rFont val="Arial"/>
        <color theme="1"/>
      </rPr>
      <t xml:space="preserve">LAT2024000003258, LAT2024000003259, 
LAT2024000003260, LAT2024000003261, 
LAT2024000003263
</t>
    </r>
    <r>
      <rPr>
        <rFont val="Arial"/>
        <b/>
        <color theme="1"/>
      </rPr>
      <t>(FIFTH LOT)</t>
    </r>
  </si>
  <si>
    <t>CICU6915731, HPCU4442881, CICU2269227,
BSIU8312152, FOUU4506744</t>
  </si>
  <si>
    <t>LindoCat Prestige - Cat Litter 10L
Lindocat Double Action - Cat Litter 5L</t>
  </si>
  <si>
    <r>
      <rPr>
        <rFont val="Arial"/>
        <color theme="1"/>
      </rPr>
      <t xml:space="preserve">LAT2024000003173, LAT2024000003174, LAT2024000003175, LAT2024000003176, LAT2024000003177,
</t>
    </r>
    <r>
      <rPr>
        <rFont val="Arial"/>
        <b/>
        <color theme="1"/>
      </rPr>
      <t xml:space="preserve">(FOURTH LOT) </t>
    </r>
  </si>
  <si>
    <t>CICU7046360, VSTU9904714, VSTU9903913,
BEAU4604433, TRLU7605259</t>
  </si>
  <si>
    <t>Kit Cat Petite Pouch 70g - Tuna &amp; Saba x24pcs</t>
  </si>
  <si>
    <t>KCIT240097</t>
  </si>
  <si>
    <t>PPT-137</t>
  </si>
  <si>
    <t>MSDU1649205</t>
  </si>
  <si>
    <t>7 PALLETS</t>
  </si>
  <si>
    <t>Kit Cat Kitten Milk Replacer 200ml</t>
  </si>
  <si>
    <t>KCIT240151</t>
  </si>
  <si>
    <t>JOSI DOG MINI 5X900g
JOSICAT CRUNCHY CHICKEN 7X650g</t>
  </si>
  <si>
    <t>570290465, 570290466, 
570290570, 570290731, 
570290736, 570290871,
 570290875</t>
  </si>
  <si>
    <t>PPT-165</t>
  </si>
  <si>
    <t>TCKU7306230, TRHU4438951, MSKU0179334,
MRSU6554921, MSKU1804333, SUDU8512430,
 MRKU4582813</t>
  </si>
  <si>
    <t>MAEU720444692</t>
  </si>
  <si>
    <t>KIT CAT TUNA &amp; CHICKEN 400G</t>
  </si>
  <si>
    <r>
      <rPr>
        <rFont val="Arial"/>
        <color theme="1"/>
      </rPr>
      <t xml:space="preserve">KCIT240121A
</t>
    </r>
    <r>
      <rPr>
        <rFont val="Arial"/>
        <b/>
        <color theme="1"/>
      </rPr>
      <t xml:space="preserve">FIRST LOT </t>
    </r>
  </si>
  <si>
    <t>PPT-146</t>
  </si>
  <si>
    <t>MEDU4132944, MSDU4087293, MSCU4499620</t>
  </si>
  <si>
    <t>DC Rinderfleisch Stripes Small 80g
DC High Premium Indoor 1,5kg</t>
  </si>
  <si>
    <t>52432783, 52432781</t>
  </si>
  <si>
    <t>PPT-160</t>
  </si>
  <si>
    <t>TGBU6651622</t>
  </si>
  <si>
    <t>MAEU720465684</t>
  </si>
  <si>
    <t>VETIQ Denti-Care Powder 60G</t>
  </si>
  <si>
    <t>FL/24/1896</t>
  </si>
  <si>
    <t>PPT-161</t>
  </si>
  <si>
    <t>LUTON</t>
  </si>
  <si>
    <t>2020 GBP</t>
  </si>
  <si>
    <t>HLXU5360634</t>
  </si>
  <si>
    <t>HLCULIV241046069</t>
  </si>
  <si>
    <t>ECU WORLD WIDE</t>
  </si>
  <si>
    <t>Applaws Cat Tin 1x(24x70g) Kitten - Chicken Breast</t>
  </si>
  <si>
    <t xml:space="preserve">250447--PREMIER FACTORY
</t>
  </si>
  <si>
    <t>PPT-158</t>
  </si>
  <si>
    <t>BSIU3208850</t>
  </si>
  <si>
    <t>BKKA61923100</t>
  </si>
  <si>
    <t>NOBLE</t>
  </si>
  <si>
    <t>Kit Cat Premium Cat Food Chicken Cuisine 1.2kg
Kit Cat Premium Cat Food Signature 
Salmon 1.2kg</t>
  </si>
  <si>
    <t>KCIT240189</t>
  </si>
  <si>
    <t>PPT-154</t>
  </si>
  <si>
    <t>FFAU5912760</t>
  </si>
  <si>
    <t>COSU6398400860</t>
  </si>
  <si>
    <t>CATELUX 10KG
JOSICAT CRUNCHY CHICKEN 18KG
JOSICAT KITTEN 3X1.9KG</t>
  </si>
  <si>
    <t>570291169, 570291318, 
570291406, 570291414, 
570291560, 570291563,
570291053</t>
  </si>
  <si>
    <t>MSKU9811350, MRKU4613832, MRKU2876450, 
MRKU3116791, MRSU3941681, MRKU4827264,
MSKU1585889</t>
  </si>
  <si>
    <t>MAEU720444697</t>
  </si>
  <si>
    <r>
      <rPr>
        <rFont val="Arial"/>
        <color theme="1"/>
      </rPr>
      <t xml:space="preserve">KCIT240121B
</t>
    </r>
    <r>
      <rPr>
        <rFont val="Arial"/>
        <b/>
        <color theme="1"/>
      </rPr>
      <t>SECOND LOT</t>
    </r>
    <r>
      <rPr>
        <rFont val="Arial"/>
        <color theme="1"/>
      </rPr>
      <t xml:space="preserve">  </t>
    </r>
  </si>
  <si>
    <t>CARU5733360, TCLU4466510, MSCU4377745</t>
  </si>
  <si>
    <t>MEDUGP280290</t>
  </si>
  <si>
    <t xml:space="preserve">LAT2024000003571, LAT2024000003572,
LAT2024000003573, LAT2024000003574,
LAT2024000003575,    </t>
  </si>
  <si>
    <t>CLNU3020923, CLNU3021771, CLNU3034336,
CLNU3069841, CLNU3071957</t>
  </si>
  <si>
    <t>CSDIST001924</t>
  </si>
  <si>
    <t>Delicious Dinners Trout 400g
Delicious Dinners Game 400g
Butcher's Original gravy Turkey 400g</t>
  </si>
  <si>
    <t>FS/24/09/0001/EX
FS/24/09/0002/EX
FS/24/09/0003/EX</t>
  </si>
  <si>
    <t>CAIU7242353, TGHU6090797, MEDU8654459</t>
  </si>
  <si>
    <t>MEDUPU042388</t>
  </si>
  <si>
    <t>Applaws Cat Dry 1x6kg Adult Ocean Fish with Salmon</t>
  </si>
  <si>
    <t>246399, 246400 , 246401, 250992, 250993</t>
  </si>
  <si>
    <t>PPT-164</t>
  </si>
  <si>
    <t>Felyn Go Cat Litter Apple 10L
Felyn Go Cat Litter Baby Powder 10L</t>
  </si>
  <si>
    <r>
      <rPr>
        <rFont val="Arial"/>
        <color theme="1"/>
      </rPr>
      <t xml:space="preserve">SC2409160402RZ2
</t>
    </r>
    <r>
      <rPr>
        <rFont val="Arial"/>
        <b/>
        <color theme="1"/>
      </rPr>
      <t>SECOND LOT</t>
    </r>
  </si>
  <si>
    <t>PPT-166</t>
  </si>
  <si>
    <t>ESDU1344213, ESDU2245133, ESDU1343789, 
ESDU1205809</t>
  </si>
  <si>
    <t>EPIRCHNXIN001972</t>
  </si>
  <si>
    <t>LOGISTICS PLUS</t>
  </si>
  <si>
    <t>JOSICAT STERILISED CLASSIC 18KG</t>
  </si>
  <si>
    <t>GAOU7187208</t>
  </si>
  <si>
    <t>MAEU245727026</t>
  </si>
  <si>
    <r>
      <rPr>
        <rFont val="Arial"/>
        <color theme="1"/>
      </rPr>
      <t xml:space="preserve">SC2409160402RZ1
</t>
    </r>
    <r>
      <rPr>
        <rFont val="Arial"/>
        <b/>
        <color theme="1"/>
      </rPr>
      <t>FIRST LOT</t>
    </r>
  </si>
  <si>
    <t>MSNU1954132, GAOU2470956, TRLU8777843, 
TRHU1272229</t>
  </si>
  <si>
    <t>MEDUJG751145</t>
  </si>
  <si>
    <t>250449--AAF
250450--AAF</t>
  </si>
  <si>
    <t>1837.50
2500</t>
  </si>
  <si>
    <t>ESDU2235541, TEMU7723162</t>
  </si>
  <si>
    <t>EPIRTHESLT006545</t>
  </si>
  <si>
    <t>1X20'
1X40'</t>
  </si>
  <si>
    <t xml:space="preserve">PALLET </t>
  </si>
  <si>
    <t>LINDOCAT ADVANCED PROBIOTIC 10L</t>
  </si>
  <si>
    <t>LAT2024PROFORMA31….33(SEVENTH LOT)</t>
  </si>
  <si>
    <t>HPCU4889294, BURU6613769, SLVU6014692</t>
  </si>
  <si>
    <t>Kit Cat Wet Wipes 5 in 1 Aloe Vera Scented</t>
  </si>
  <si>
    <t>KCIT240120</t>
  </si>
  <si>
    <t>PPT-149</t>
  </si>
  <si>
    <t>TGHU1687877</t>
  </si>
  <si>
    <t>QGD1410945</t>
  </si>
  <si>
    <t>Sanal Dog Chicken Filet doypack 12x80g
Sanal Dog Chicken Sushi doypack 12x80g</t>
  </si>
  <si>
    <t>PPT-171</t>
  </si>
  <si>
    <t>TGBU3795138</t>
  </si>
  <si>
    <t>TAOCB24012765</t>
  </si>
  <si>
    <t xml:space="preserve">STANDART </t>
  </si>
  <si>
    <t>CATELUX 4.25 KG
JOSIDOG MASTER MIX 900G</t>
  </si>
  <si>
    <t>570294809, 570294823</t>
  </si>
  <si>
    <t>PPT-175</t>
  </si>
  <si>
    <t>MRSU6003770, TCNU2526330</t>
  </si>
  <si>
    <t>MAEU246666192</t>
  </si>
  <si>
    <t>Applaws Cat Pouch 1x(12x70g)
Applaws Cat Tin 1x(24x156g)
Applaws Cat Treat 1x(12x30g)</t>
  </si>
  <si>
    <t>PPT-172</t>
  </si>
  <si>
    <t>CMAU6591287</t>
  </si>
  <si>
    <t>HBG1921627</t>
  </si>
  <si>
    <t>JOSIDOG ECONOMY 15KG
JOSIDOG MINI 10KG</t>
  </si>
  <si>
    <t>570295017, 570295031, 
570295163, 570295169</t>
  </si>
  <si>
    <t>MRSU6299718, TCKU6404171, MRSU3653068, 
MRSU5966673</t>
  </si>
  <si>
    <t>MAEU246666280</t>
  </si>
  <si>
    <t>INK202411030-003</t>
  </si>
  <si>
    <t>PPT-173</t>
  </si>
  <si>
    <t>TRHU5235368, EMCU8786486, TXGU5705136</t>
  </si>
  <si>
    <t xml:space="preserve">KCIT240121C--THIRD LOT </t>
  </si>
  <si>
    <t>CAAU7694031, CAAU7693966, CAAU7693610</t>
  </si>
  <si>
    <t>Applaws Cat Tin 1x(24x70g) Tuna Fillet</t>
  </si>
  <si>
    <t>250451, 250452--CMC</t>
  </si>
  <si>
    <t>KOCU4852233, TXGU8525837</t>
  </si>
  <si>
    <t>HDMUSGZA74992800</t>
  </si>
  <si>
    <t>MINI DELUXE 10KG
JOSIDOG AGILO SPORT 15KG</t>
  </si>
  <si>
    <t>570295799, 570295823, 
570295481,570295636, 
570295623</t>
  </si>
  <si>
    <t>MRSU5423362, GCXU5742535, MRSU6049792,
CAAU8378336,  SEKU4612409</t>
  </si>
  <si>
    <t>MAEU246666364</t>
  </si>
  <si>
    <t xml:space="preserve">KCIT240121D--FOURTH LOT </t>
  </si>
  <si>
    <t>AMPU8002765, CAIU4240969, REGU5083177</t>
  </si>
  <si>
    <t>SGZCB24002378</t>
  </si>
  <si>
    <t>Kit Cat SoyaClump Kitten Litter 7L</t>
  </si>
  <si>
    <t>SOKC000390</t>
  </si>
  <si>
    <t>PPT-195</t>
  </si>
  <si>
    <t>HDMU2834262</t>
  </si>
  <si>
    <t>HDMUTAOA53132100</t>
  </si>
  <si>
    <t>BIOSAND CAT LITTE SUPERCLUMP 7.5KG
BIOSAND CAT LITTER SUPERCLUMP WHITE 10L</t>
  </si>
  <si>
    <t>256, 257, 258, 259, 260</t>
  </si>
  <si>
    <t>TRISSINO</t>
  </si>
  <si>
    <t>GAOU6484109, UETU6397371, TCLU8060880,
UACU5582848, HLBU2514826</t>
  </si>
  <si>
    <t>HLCUGOA2411AVSD2</t>
  </si>
  <si>
    <t xml:space="preserve">LOGISTICS PLUS </t>
  </si>
  <si>
    <t>Naturelle 10kg SA, Catelux 32x60g
Naturelle 4,25kg SA, JosiDog Mini 10kg SA
Vitaleimer Pferd 25kg
Wald &amp; Wiese 15kg</t>
  </si>
  <si>
    <t>(570297595, 570297596), 570297088, 
570297104, 570296960</t>
  </si>
  <si>
    <t>PPT-176, HORSE FEED</t>
  </si>
  <si>
    <t>2245
2450</t>
  </si>
  <si>
    <t>MRKU2080333, TCLU5699603, MSKU1683205,
MSKU5690157</t>
  </si>
  <si>
    <t>MAEU247789821</t>
  </si>
  <si>
    <t>Applaws Cat Dry Food Chicken 2kg
Applaws Kitten Dry Food Chicken 400g</t>
  </si>
  <si>
    <t>250990, 250991, 250994</t>
  </si>
  <si>
    <t>PPT-164/OCEAN FISH</t>
  </si>
  <si>
    <t>HAMU2028995, FANU3788470, BSIU9864639</t>
  </si>
  <si>
    <t>HLCUBC1241208192</t>
  </si>
  <si>
    <t>SEAPIONEER</t>
  </si>
  <si>
    <t>POUF OLYMPE CRÈME
POUF OLYMPE KAKI</t>
  </si>
  <si>
    <t>PPT-199</t>
  </si>
  <si>
    <t xml:space="preserve">TUNISIA </t>
  </si>
  <si>
    <t xml:space="preserve">BIZERTE </t>
  </si>
  <si>
    <t>SGCU7431820</t>
  </si>
  <si>
    <t>TN417305</t>
  </si>
  <si>
    <t>COMPANA</t>
  </si>
  <si>
    <t>Bags on Board Refill Bags - Blue - 60 Bags
Bags on Board Poop Bags - Blue - 140 Bags</t>
  </si>
  <si>
    <t>PPT-181/
182</t>
  </si>
  <si>
    <t>NORTHANTS</t>
  </si>
  <si>
    <t>TCKU1070580</t>
  </si>
  <si>
    <t>MAEU248728863</t>
  </si>
  <si>
    <t>CITY CAT CAT TREE 1 GREY
WONDERFUL CAT 1 GREY
BIG CAT 3</t>
  </si>
  <si>
    <t xml:space="preserve">OC-3190, 3191, </t>
  </si>
  <si>
    <t>PPT-200</t>
  </si>
  <si>
    <t>CZECH</t>
  </si>
  <si>
    <t>LUTIN</t>
  </si>
  <si>
    <t>MRKU0889205, MRKU0919824</t>
  </si>
  <si>
    <t>MAEU248041279</t>
  </si>
  <si>
    <t>CHICKEN WINGS 100G
CHEWING STICK WITH CHICKEN X10</t>
  </si>
  <si>
    <t>PPT-167</t>
  </si>
  <si>
    <t xml:space="preserve">CHINA </t>
  </si>
  <si>
    <t xml:space="preserve">QINGDAO </t>
  </si>
  <si>
    <t>MSDU8548921</t>
  </si>
  <si>
    <t>MEDUQT378583</t>
  </si>
  <si>
    <t>Catelux 15kg SA
Bavaro Force 28/16 18kg SA
MiniDeluxe 10kg SA</t>
  </si>
  <si>
    <t>570297223, 570297362, 570297576</t>
  </si>
  <si>
    <t>PPT-176</t>
  </si>
  <si>
    <t>MRSU5608828, CAAU6387175, TRHU4056809</t>
  </si>
  <si>
    <t>MAEU247526319</t>
  </si>
  <si>
    <t>PP CANARY 800G
PP BUDGIES 800G
BUDGIES GOURMET 20KG</t>
  </si>
  <si>
    <t>2500131, 2500130, 2500129</t>
  </si>
  <si>
    <t>PPT-177</t>
  </si>
  <si>
    <t>TCLU5638444, MRSU4833151, MRKU2329220</t>
  </si>
  <si>
    <t>MAEU249164613</t>
  </si>
  <si>
    <t xml:space="preserve">STANDARD </t>
  </si>
  <si>
    <t>TOOTHPASTE LIVER 100G EN/AR/TR
VETOPURE COLLAR CAT EN</t>
  </si>
  <si>
    <t>PPT-178</t>
  </si>
  <si>
    <t>MRSU4670901</t>
  </si>
  <si>
    <t>MAEU248948820</t>
  </si>
  <si>
    <t>Sanal Cat Anti-Hairball Bites cup 6x75g
Sanal Cat Cheese Bites cup 6x75g</t>
  </si>
  <si>
    <t>PPT-170</t>
  </si>
  <si>
    <t>MSNU7746440, TXGU5322184</t>
  </si>
  <si>
    <t>MEDUVM523456</t>
  </si>
  <si>
    <t>RECEIVED AT SHIPGO WAREHOUSE</t>
  </si>
  <si>
    <t>SHIP GO</t>
  </si>
  <si>
    <t xml:space="preserve">BIO PET </t>
  </si>
  <si>
    <t>VITALIDOG (MULTIVITAMIN TABLETS FOR DOGS)</t>
  </si>
  <si>
    <t>PPTE260224</t>
  </si>
  <si>
    <t xml:space="preserve">JEDDAH </t>
  </si>
  <si>
    <t>EISU9140235</t>
  </si>
  <si>
    <t>Delicious Dinners Beef cat food 400g
Butcher's Original gravy Beef 400g</t>
  </si>
  <si>
    <t>FS/24/10/0003/EX
FS/24/10/0004/EX</t>
  </si>
  <si>
    <t>FFAU3833786, MSDU7269310</t>
  </si>
  <si>
    <t>MEDUPU180378</t>
  </si>
  <si>
    <t>AL THIKA PACKAGING</t>
  </si>
  <si>
    <t xml:space="preserve">AIR PLUS CUSHION FILM 400X250MM
2 PLY 250M FANFOLD 
AIR PLUS BUBBLE FILM </t>
  </si>
  <si>
    <t>PSI-046565</t>
  </si>
  <si>
    <t>STUTTGART</t>
  </si>
  <si>
    <t>MEDU6801817</t>
  </si>
  <si>
    <t>MEDUVM524546</t>
  </si>
  <si>
    <t>Butcher's Original Junior Chicken400g
Delicious Dinners Trout 400g
Butcher's Delicious Dinners with Beef/Chicken/Game 6x400g CIJ</t>
  </si>
  <si>
    <t>FS/24/12/0001/EX
FS/24/11/0002/EX
FS/24/11/0003/EX</t>
  </si>
  <si>
    <t>TLLU5158850, MSDU5092870</t>
  </si>
  <si>
    <t>18-mra-25</t>
  </si>
  <si>
    <t>WELLNESS</t>
  </si>
  <si>
    <t xml:space="preserve">WEL WD CORE SB SavMed Ch/Dck 12/85g
</t>
  </si>
  <si>
    <t>CD99010924</t>
  </si>
  <si>
    <t>PPT-174</t>
  </si>
  <si>
    <t>TLLU2578761</t>
  </si>
  <si>
    <t>BKKA38265700</t>
  </si>
  <si>
    <t>Y</t>
  </si>
  <si>
    <t>WHZ SD Stix XS 56ct - 6/CS</t>
  </si>
  <si>
    <t>CD99010923</t>
  </si>
  <si>
    <t>HMMU6879690</t>
  </si>
  <si>
    <t>BKKA42064000</t>
  </si>
  <si>
    <t>NUTRIENT BOOST LOVE AT FIRST BARK CHICKEN 3.75LB
NUTRIENT BOOST LOVE AT CHICKEN 22 LB</t>
  </si>
  <si>
    <t>SO-UK-24070318, SO-UK-24100443</t>
  </si>
  <si>
    <t>CAIU9317003, CHSU8034451, TRKU4466419</t>
  </si>
  <si>
    <t>Kit Cat Daily Supplement Gel 120g-- Hairball</t>
  </si>
  <si>
    <t>SOKC000365</t>
  </si>
  <si>
    <t>HDMU2740482</t>
  </si>
  <si>
    <t>HDMUTAOA37564800</t>
  </si>
  <si>
    <t>RECEIVED AT STARLINK RIYADH</t>
  </si>
  <si>
    <t>SL-RYD</t>
  </si>
  <si>
    <t>DC Best Filet No 1--70g No 1 Thunfisch
DC Best Filet No 2--70g No 2 Hähnchenbrust</t>
  </si>
  <si>
    <t>PPT-198</t>
  </si>
  <si>
    <t>SAMUT SAKHON</t>
  </si>
  <si>
    <t>EGSU1321090</t>
  </si>
  <si>
    <t>0-50500060298</t>
  </si>
  <si>
    <t>SL-JED</t>
  </si>
  <si>
    <t>MRSU6796720</t>
  </si>
  <si>
    <t>MAEU249004962</t>
  </si>
  <si>
    <t>PLP AFRICAN PARAK.MIX1KG
PRESTIGE BIG PARAK.GOU.2</t>
  </si>
  <si>
    <t>2500228, 2500231, 2500229, 2500230</t>
  </si>
  <si>
    <t>MSKU1268673, TCKU6798877, MRSU5557232,
MRKU6030114</t>
  </si>
  <si>
    <t>MAEU249360940</t>
  </si>
  <si>
    <t>Kit Cat Purrfect Pockets - Hairball Control 60g
Kit Cat Purrfect Pockets - Chicken &amp; Cheese 60g</t>
  </si>
  <si>
    <t>SOKC000416</t>
  </si>
  <si>
    <t>PPT-208</t>
  </si>
  <si>
    <t xml:space="preserve">BARCELONA </t>
  </si>
  <si>
    <t>TEMU4407704</t>
  </si>
  <si>
    <t>MEDUD8912906</t>
  </si>
  <si>
    <t>ECU</t>
  </si>
  <si>
    <t>Kitcat Crystal Cat Litter 5L (Lemon)
Kitcat Crystal Cat Litter 5L (Baby Powder)</t>
  </si>
  <si>
    <t>SOKC000415</t>
  </si>
  <si>
    <t>PPT-207</t>
  </si>
  <si>
    <t>KOCU2008460</t>
  </si>
  <si>
    <t>HDMUTAOA10945200</t>
  </si>
  <si>
    <t>WEL WD CORE SB SavMed Ch/Dck 12/85g
WHZ SD Stix XS 56ct - 6/CS
WEL WC CORE 98% Ckn/Wild Boar12/85g
WEL DD CORE Ocean 10kg
WEL DD CORE Original 10kg
WEL SD CORE Rew+ Turk Mobil 8/170g</t>
  </si>
  <si>
    <t>CD99010858, CD99010868, CD99010859, CD99010860, CD99010869, CD99010870</t>
  </si>
  <si>
    <t>1850
2060</t>
  </si>
  <si>
    <t>TRHU7941276, GCXU5767718, MRSU3901708,
SUDU7701505, CAAU5316900, MSKU0824314</t>
  </si>
  <si>
    <t>MAEU249428090</t>
  </si>
  <si>
    <t>1X20'
5X40'</t>
  </si>
  <si>
    <t>Kit Cat Premium Cat Food Chicken Cuisine 1.2kg</t>
  </si>
  <si>
    <t>SOKC000408</t>
  </si>
  <si>
    <t>PPT-190</t>
  </si>
  <si>
    <t>CMAU8564531</t>
  </si>
  <si>
    <t>RECEIVED AT STARLINK JEDDAH</t>
  </si>
  <si>
    <t>LindoCat Double Action - Cat Litter 10L
LindoCat Prestige - Cat Litter 10L</t>
  </si>
  <si>
    <t>LAT2025000001004, LAT2025000001005,
 LAT2025000001006, LAT2025000001007,
 LAT2025000001008, LAT2025000001009, 
LAT2025000001010, LAT2025000001011,
 LAT2025000001012,</t>
  </si>
  <si>
    <t>BSIU8482729, BXAU4630723, CAIU8199185, CICU6928868, CULU6213329, HPCU4788391,
HPCU4795641, HYJU1094174, SLVU5009053</t>
  </si>
  <si>
    <t>EXPERT Parrots mix fruit Middle East 12,5
KG</t>
  </si>
  <si>
    <t>2500158, 2500159, 2500160</t>
  </si>
  <si>
    <t>PPT-212</t>
  </si>
  <si>
    <t>TCNU6419601, TCKU6850511, TRHU8316186</t>
  </si>
  <si>
    <t>MAEU249704040</t>
  </si>
  <si>
    <t>Zolux  Crunchy Stick For Canaries Seeds and Honey 85g</t>
  </si>
  <si>
    <t>PPT-168</t>
  </si>
  <si>
    <t>2550E</t>
  </si>
  <si>
    <t>MSDU8655508</t>
  </si>
  <si>
    <t>MEDUPU353462</t>
  </si>
  <si>
    <t>DAILY CAT 6X2KG</t>
  </si>
  <si>
    <t>Kleinheubach</t>
  </si>
  <si>
    <t>GCXU5745690</t>
  </si>
  <si>
    <t>MAEU249366529</t>
  </si>
  <si>
    <t>Kit Cat 80g - Kitten Chicken Flakes with Aspic</t>
  </si>
  <si>
    <t>SOKC000378</t>
  </si>
  <si>
    <t>PPT-187</t>
  </si>
  <si>
    <t>HMMU6289760</t>
  </si>
  <si>
    <t>HDMUBKKA28048100</t>
  </si>
  <si>
    <t>Kit Cat Deboned Tuna Classic 80g</t>
  </si>
  <si>
    <t>SOKC000375</t>
  </si>
  <si>
    <t>PPT-184</t>
  </si>
  <si>
    <t xml:space="preserve">THAILAND </t>
  </si>
  <si>
    <t xml:space="preserve">SONGKHLA </t>
  </si>
  <si>
    <t>HMMU6691954, HMMU6549997</t>
  </si>
  <si>
    <t>HDMUBKKA94534900</t>
  </si>
  <si>
    <t>HASU4275553</t>
  </si>
  <si>
    <t>MAEU249473658</t>
  </si>
  <si>
    <t>Kit Cat Wet Wipes 5 in 1 Aloe Vera Scented 80 pcs</t>
  </si>
  <si>
    <t>SOKC000389</t>
  </si>
  <si>
    <t>PPT-194</t>
  </si>
  <si>
    <t>TEMU1652919</t>
  </si>
  <si>
    <t>HDMUTAOA24533400</t>
  </si>
  <si>
    <t xml:space="preserve">Kit Cat Goat Milk For Kittens 300ml
</t>
  </si>
  <si>
    <t>SOKC000364A</t>
  </si>
  <si>
    <t>HMMU6706843</t>
  </si>
  <si>
    <t>HDMUSGZA59452700</t>
  </si>
  <si>
    <t>22510711, 22510712</t>
  </si>
  <si>
    <t>PPT-213</t>
  </si>
  <si>
    <t>WONDELGEM</t>
  </si>
  <si>
    <t>1900E</t>
  </si>
  <si>
    <t>CAAU8495034, SEKU6967115</t>
  </si>
  <si>
    <t>MAEU249701636</t>
  </si>
  <si>
    <t>CATELUX 6X2KG</t>
  </si>
  <si>
    <t>MRSU6386520</t>
  </si>
  <si>
    <t>MAEU249366098</t>
  </si>
  <si>
    <t>MRKU5652659</t>
  </si>
  <si>
    <t>MAEU249366265</t>
  </si>
  <si>
    <t>MARINESSE 8X400G
CULINESSE 8X400G</t>
  </si>
  <si>
    <t>570303726, 570303987</t>
  </si>
  <si>
    <t>MRSU3931153, UETU6688546</t>
  </si>
  <si>
    <t>MAEU249366741</t>
  </si>
  <si>
    <t>EXPERT Parrots mix fruit Middle East 12,5 KG
EXPERT Budgie mix Middle East 20 kg</t>
  </si>
  <si>
    <t>MSDU6719136</t>
  </si>
  <si>
    <t>MEDUO7543616</t>
  </si>
  <si>
    <t>PPT-169</t>
  </si>
  <si>
    <t>2500E</t>
  </si>
  <si>
    <t>MSMU5424498</t>
  </si>
  <si>
    <t>LAT2025000001225, LAT2025000001226,
LAT2025000001227, LAT2025000001228,
LAT2025000001229, LAT2025000001230,
LAT2025000001231, LAT2025000001232,</t>
  </si>
  <si>
    <t>SLVU6057009, FSCU8055077, FCIU8980051,
SLVU6017855, SLVU5017188, VSTU9905290, 
TRLU7364336, VOLU4954629</t>
  </si>
  <si>
    <t>LAT2025000001233, LAT2025000001234, LAT2025000001235, LAT2025000001236, LAT2025000001237</t>
  </si>
  <si>
    <t>SLVU6052347, BSIU8340806, SLVU5018672,
BSIU8274746, CICU6926253</t>
  </si>
  <si>
    <t xml:space="preserve">CHAMPION PET </t>
  </si>
  <si>
    <t>ACA SMALL BR PUPPY RCP 2KG
ACA BOUNTIFUL CATCH C 1.8KG
ORI SM BR PUPPY 4.5KG</t>
  </si>
  <si>
    <t xml:space="preserve">PPT-210A 
</t>
  </si>
  <si>
    <t>CANADA</t>
  </si>
  <si>
    <t xml:space="preserve">ACHESON </t>
  </si>
  <si>
    <t>MSCU5298949</t>
  </si>
  <si>
    <t>MEDUOF429478</t>
  </si>
  <si>
    <t xml:space="preserve">PPT-210B 
</t>
  </si>
  <si>
    <t>MSNU6664476</t>
  </si>
  <si>
    <t>MEDUOF429460</t>
  </si>
  <si>
    <t>ACA SMALL BR PUPPY RCP 2KG
ACA BOUNTIFUL CATCH C 1.8KG
ORI SM BR PUPPY 4.5KG</t>
  </si>
  <si>
    <t xml:space="preserve">PPT-210C 
</t>
  </si>
  <si>
    <t>FFAU1709586</t>
  </si>
  <si>
    <t>MEDUOF429536</t>
  </si>
  <si>
    <t xml:space="preserve">LAVIOSA </t>
  </si>
  <si>
    <t>ARYA SALVIETTE TALCO 40 PZ
ARYA SALVIETTE ALOE 40 PZ</t>
  </si>
  <si>
    <t>PPT-216</t>
  </si>
  <si>
    <t>NAPOLI</t>
  </si>
  <si>
    <t>CAIU9950259</t>
  </si>
  <si>
    <t>MEDUFK612739</t>
  </si>
  <si>
    <t xml:space="preserve">KUEHNE NAGEL </t>
  </si>
  <si>
    <t>LAT2025PROFORMA23..24..25</t>
  </si>
  <si>
    <t>BSIU8473917, VOLU4523344, CULU6074286</t>
  </si>
  <si>
    <t>LAT2025PROFORMA26..27..28..29..30</t>
  </si>
  <si>
    <t>TRLU7498211, VOLU4955501, TDRU0636210,
CULU6273734, TDRU5772478</t>
  </si>
  <si>
    <t>INDIGO MOON BLENDED TUNA GRAVY GF 24/3 OZ SA</t>
  </si>
  <si>
    <t>SO-UK-24120727</t>
  </si>
  <si>
    <t>PPT-120</t>
  </si>
  <si>
    <t>TXGU6875409</t>
  </si>
  <si>
    <t>SGZCB25000295</t>
  </si>
  <si>
    <t>TOOTHPASTE LIVER 100G EN/AR/TR
MALT PASTE CAT 100G EN/TR/AR
VETOPURE COLLAR CAT EN</t>
  </si>
  <si>
    <t>PPT-224</t>
  </si>
  <si>
    <t>DAYU2163350</t>
  </si>
  <si>
    <t>HLCURTM250328665</t>
  </si>
  <si>
    <t>Kitcat Petite Pouch Complete Food-Chic ken &amp; Salmon 70g</t>
  </si>
  <si>
    <t>SOKC000392</t>
  </si>
  <si>
    <t>PPT-197</t>
  </si>
  <si>
    <t>TGBU3680355</t>
  </si>
  <si>
    <t>SGZCB25000249</t>
  </si>
  <si>
    <t>PUUR LOVEBIRD WH 2kg
PUUR LOVEBIRD WH 750gr</t>
  </si>
  <si>
    <t>TRKU5501582</t>
  </si>
  <si>
    <t>PLT</t>
  </si>
  <si>
    <t>LINDO CAT THE ORIGINAL 10L
LINDO CAT ESSENTIAL 10 L
LINDO CAT ESSENTIAL 20L</t>
  </si>
  <si>
    <t xml:space="preserve">ITALY </t>
  </si>
  <si>
    <t xml:space="preserve">CAGLIARY  </t>
  </si>
  <si>
    <t>CAIU4739428</t>
  </si>
  <si>
    <t>MEDUFK686493</t>
  </si>
  <si>
    <t>2300000149, 2300000150</t>
  </si>
  <si>
    <t>MEDU4753659, MSMU8002011</t>
  </si>
  <si>
    <t>MEDUFK767764</t>
  </si>
  <si>
    <t xml:space="preserve">LindoCat Double Action - Cat Litter 10L
</t>
  </si>
  <si>
    <t xml:space="preserve">LAT2025000001330, LAT2025000001331,
LAT2025000001332, LAT2025000001333,
LAT2025000001334 </t>
  </si>
  <si>
    <t>NYKU4186335, SLVU5046000, LYGU4044925, 
CICU2648010, SLVU4445880</t>
  </si>
  <si>
    <t>LAT2025000001338, LAT2025000001339,
LAT2025000001340, LAT2025000001341,
LAT2025000001342</t>
  </si>
  <si>
    <t>BSIU8476829, CICU7043720, HPCU4508850,
BSIU8271578, LYGU4157958</t>
  </si>
  <si>
    <t>LAT2025000000074, LAT2025000000075, 
LAT2025000000076, LAT2025000000077</t>
  </si>
  <si>
    <t>CAlU7092248, VOLU4960909, CBHU8680919,
VOLU4959148</t>
  </si>
  <si>
    <t xml:space="preserve">MPS </t>
  </si>
  <si>
    <t>303, 320</t>
  </si>
  <si>
    <t>PPT-233</t>
  </si>
  <si>
    <t>SUDU6922271, MSKU1746279</t>
  </si>
  <si>
    <t>MAEU252234491</t>
  </si>
  <si>
    <t xml:space="preserve">PLT </t>
  </si>
  <si>
    <t xml:space="preserve">SELIM </t>
  </si>
  <si>
    <t>BIOSAND CAT LITTER  7.5KG &amp; 10L</t>
  </si>
  <si>
    <t>86, 87, 88, 89, 90</t>
  </si>
  <si>
    <t>MRKU5353112, TCKU7420665, TRHU5026882,
MSKU9970201, PONU8215680</t>
  </si>
  <si>
    <t>KINGFISHER</t>
  </si>
  <si>
    <t>FELYN GO CHICKEN IN GRAVY
FELYN GO CHICKEN &amp; PUMPKIN &amp; VEGETABLES IN GRAVY</t>
  </si>
  <si>
    <t>PPT-225</t>
  </si>
  <si>
    <t>1550
1815</t>
  </si>
  <si>
    <t>UETU3031007
CAAU7135080, TRHU7852158, CMAU3912681</t>
  </si>
  <si>
    <t>THD1337492</t>
  </si>
  <si>
    <t>1X20'
3X40'</t>
  </si>
  <si>
    <t>Kit Cat Puree Chicken &amp; Fiber (Hairball) 15gx4 Sachets</t>
  </si>
  <si>
    <t>SOKC000391</t>
  </si>
  <si>
    <t>PPT-196</t>
  </si>
  <si>
    <t>CMAU4185458</t>
  </si>
  <si>
    <t>WEL WD CORE SB SavMed Ch/Dck 12/85g
WHZ SD Stix XS 56ct - 6/C</t>
  </si>
  <si>
    <t>S318960, S318961</t>
  </si>
  <si>
    <t>Kit Cat Complete Cuisine - Chicken &amp; Salmon 70g</t>
  </si>
  <si>
    <t>SOKC000393</t>
  </si>
  <si>
    <t>PPT-189</t>
  </si>
  <si>
    <t>CAAU7674694</t>
  </si>
  <si>
    <t>SGZCB2500036101</t>
  </si>
  <si>
    <t>SOKC000376A</t>
  </si>
  <si>
    <t>PPT-185</t>
  </si>
  <si>
    <t>TGBU8543885</t>
  </si>
  <si>
    <t>SGZCB25000360</t>
  </si>
  <si>
    <t>SOKC000376B</t>
  </si>
  <si>
    <t>CAIU7945593</t>
  </si>
  <si>
    <t>SGZCB25000391</t>
  </si>
  <si>
    <t>Dog toy SQUIGGLE 26,5x5,7cm red
Tennisballs LET'S PLAY 3st - 6,4cm multicolour
Dog toy ROLL THE DICE 16x16x16cm white/black</t>
  </si>
  <si>
    <t>22519719, 22519720, 22519721</t>
  </si>
  <si>
    <t>PPT-215</t>
  </si>
  <si>
    <t xml:space="preserve">SHANGHAI </t>
  </si>
  <si>
    <t>MSMU6422714</t>
  </si>
  <si>
    <t>MEDUGJ127505</t>
  </si>
  <si>
    <t>Garden Bites dental sticks S - 13cm - 28pcs Multicolour</t>
  </si>
  <si>
    <t>PPT-214</t>
  </si>
  <si>
    <t>FBLU0224153</t>
  </si>
  <si>
    <t>0-27F561070</t>
  </si>
  <si>
    <t>SOKC000377</t>
  </si>
  <si>
    <t>PPT-186</t>
  </si>
  <si>
    <t>BSIU9162144, CAAU8689847</t>
  </si>
  <si>
    <t>SGZCB2500044301</t>
  </si>
  <si>
    <t>Kit Cat Daily Supplement Gel 120g</t>
  </si>
  <si>
    <t>SOKC000364B</t>
  </si>
  <si>
    <t>TEMU7592817</t>
  </si>
  <si>
    <t>SGZCB25000444</t>
  </si>
  <si>
    <t>ARRIVED AT STARLINK JEDDAH</t>
  </si>
  <si>
    <t>ESP OATMEAL BAKING SODA WIPES
ESP PUPPY SHAMPOO 12/20OZ</t>
  </si>
  <si>
    <t>DALLAS</t>
  </si>
  <si>
    <t>CMAU2826721</t>
  </si>
  <si>
    <t>NAM7450153</t>
  </si>
  <si>
    <t>FB CAT TRTS CHICKEN/BLUEBERRY 10/2.5OZ
NV K9 HIP&amp;JNT BISCIT 166MG 6/19.5OZ</t>
  </si>
  <si>
    <t>SEGU1288689</t>
  </si>
  <si>
    <t>NAM7549961</t>
  </si>
  <si>
    <t>ARRIVED AT DSV</t>
  </si>
  <si>
    <t>PPT-227</t>
  </si>
  <si>
    <t>DRYU2758158</t>
  </si>
  <si>
    <t xml:space="preserve">MPM </t>
  </si>
  <si>
    <t>Applaws Cat Dry 3x(1x2kg)
Applaws Dog Tin 1x(12x156g)
Applaws Cat Tin 1x(24x70g)</t>
  </si>
  <si>
    <t xml:space="preserve"> 255925, 255926</t>
  </si>
  <si>
    <t>PPT-239</t>
  </si>
  <si>
    <t>Desteldonk</t>
  </si>
  <si>
    <t>MSKU9926322, CAAU8313886</t>
  </si>
  <si>
    <t>ARRIVED AT STARLINK RIYADH</t>
  </si>
  <si>
    <t>SOKC000379</t>
  </si>
  <si>
    <t>PPT-188</t>
  </si>
  <si>
    <t>CAAU9433274</t>
  </si>
  <si>
    <t>Applaws Cat Dry 3x(1x2kg) Kitten Chicken</t>
  </si>
  <si>
    <t>255779, 255780, 255781, 255782, 255783, 
255784, 255785, 255786</t>
  </si>
  <si>
    <t>PPT-218</t>
  </si>
  <si>
    <t>UETU6894486, HAMU3259767, TCLU8053685,
UETU5746041, HAMU2835390, HLBU2079879,
FANU1531501, HAMU3003707</t>
  </si>
  <si>
    <t>HLCUBC1250416988</t>
  </si>
  <si>
    <t xml:space="preserve">PRATIKO 1 PLASICA RECYCLED MIX COL 
NETTA MAXI CLOSE MIX COL </t>
  </si>
  <si>
    <t>MSKU1305484</t>
  </si>
  <si>
    <t>MAEU253718942</t>
  </si>
  <si>
    <t xml:space="preserve"> </t>
  </si>
  <si>
    <t>LINDOCAT DOUBLE ACTION 10L
LINDOCAT PRESTIGE 10L</t>
  </si>
  <si>
    <t xml:space="preserve">LAV2025000000527, LAV2025000000528,
LAV2025000000529, LAV2025000000530,
LAV2025000000531 </t>
  </si>
  <si>
    <t>PPT-256</t>
  </si>
  <si>
    <t xml:space="preserve">FATSA </t>
  </si>
  <si>
    <t xml:space="preserve">CICU6916086, VOLU4912140, TCNU7091939, 
CICU7243945, FYCU7207250 </t>
  </si>
  <si>
    <t>NMEAL3 CANARY 800G
NMEAL3 CANARY 2,5KG</t>
  </si>
  <si>
    <t>1092583, 1092584, 1092585</t>
  </si>
  <si>
    <t>PPT-206</t>
  </si>
  <si>
    <t>ABLAINCOURT</t>
  </si>
  <si>
    <t>CAAU8961908, CAAU9290770, MRSU5720587</t>
  </si>
  <si>
    <t>IMMERGUT</t>
  </si>
  <si>
    <t>MILK FOR CAT 200ML
MILK FOR KITTEN 200ML</t>
  </si>
  <si>
    <t>235730, 235731</t>
  </si>
  <si>
    <t>TETRA 
PACK</t>
  </si>
  <si>
    <t xml:space="preserve">FLIEDEN </t>
  </si>
  <si>
    <t>CAAU9254181, TCNU1121363</t>
  </si>
  <si>
    <t>MAEU253311590</t>
  </si>
  <si>
    <t xml:space="preserve">ARRIVED AT AGILITY WAREHOUSE </t>
  </si>
  <si>
    <t>TECHLA XL NEW</t>
  </si>
  <si>
    <t>1036, 1053</t>
  </si>
  <si>
    <t>VALENZA</t>
  </si>
  <si>
    <t>Sanal Cat Anti-Hairball Bites cup 6x75g</t>
  </si>
  <si>
    <t>PPT-228</t>
  </si>
  <si>
    <t>NIJMEGEN</t>
  </si>
  <si>
    <t>GCXU5599321, SEKU4474275</t>
  </si>
  <si>
    <t>MAEU252558583</t>
  </si>
  <si>
    <t xml:space="preserve">INABA </t>
  </si>
  <si>
    <t>Churu Tuna Recipe (USA-601)
Chicken Varitey 40 Tube (USA-643)
Juicy Bites Tuna &amp; Chicken Flavor (USA-701)
CIAO Sugoi Crunchy Tuna Flavor Plus Prebiotics (CDT-251)</t>
  </si>
  <si>
    <t>INK202503030-004-1,
 INK202503030-004-2,
NK202503030-004-3
INK202503030-004-3D</t>
  </si>
  <si>
    <t>PPT-220</t>
  </si>
  <si>
    <t>HMMU6431026, KOCU4493339, TXGU8088850</t>
  </si>
  <si>
    <t>BKKA20955500</t>
  </si>
  <si>
    <t xml:space="preserve">VERSELE LAGA </t>
  </si>
  <si>
    <t>PP CANARY 800G
PP BUDGIES 800G</t>
  </si>
  <si>
    <t>DG2509524, DG2509525, DG2509629</t>
  </si>
  <si>
    <t>MRKU5766733, SEKU6966490, CAAU7748966</t>
  </si>
  <si>
    <t xml:space="preserve">FOB </t>
  </si>
  <si>
    <t xml:space="preserve">WORLDZONE </t>
  </si>
  <si>
    <t>JOSICAT CRUNCHY CHICKEN 18KG</t>
  </si>
  <si>
    <t>570313799, 570313788, 570313802,
570313803</t>
  </si>
  <si>
    <t>PPT-243</t>
  </si>
  <si>
    <t>CMAU 9644626, TCNU3508768, CMAU3544677,
TRHU5562566</t>
  </si>
  <si>
    <t>HBG1978989</t>
  </si>
  <si>
    <t>LAV2025000000584, LAV2025000000585,
LAV2025000000586, LAV2025000000587,
LAV2025000000588</t>
  </si>
  <si>
    <t>CAIU8877852, HPCU4708164, BMOU4859779, 
OOLU8157483, CICU7047460</t>
  </si>
  <si>
    <t xml:space="preserve">ARRIVED AT STARLINK JEDDAH EMG LOCATION </t>
  </si>
  <si>
    <t>LAV2025000000700, LAV2025000000701,
LAV2025000000702, LAV2025000000703,
LAV2025000000704</t>
  </si>
  <si>
    <t>SLVU4669828, KPHU6787585, BXAU4654509, 
HPCU4706979, HPCU4498920</t>
  </si>
  <si>
    <t>Litter 8kg, 20kg</t>
  </si>
  <si>
    <t>SC2503060401RZ1</t>
  </si>
  <si>
    <t>PPT-234</t>
  </si>
  <si>
    <t>TEMU2801431, TCLU3067731, TLLU2323415,
CAIU3051699, TEMU4013402, APZU3393425, 
CMAU0553839, DFSU2093921</t>
  </si>
  <si>
    <t>TJN0633438</t>
  </si>
  <si>
    <t xml:space="preserve">ECU </t>
  </si>
  <si>
    <t>TINS CHICK/TUNA/RICE
CHCI/TUNA/SQUID 70G</t>
  </si>
  <si>
    <t>PPT-201</t>
  </si>
  <si>
    <t>WHLU0605970</t>
  </si>
  <si>
    <t>MAEU253060782</t>
  </si>
  <si>
    <t>164766, 164966</t>
  </si>
  <si>
    <t>Juicy Bites Tuna &amp; Chicken Flavor (USA-701)
Juicy Bites Fish &amp; Clam Flavor (USA-702)
Juicy Bites Scallop &amp; Crab Flavor (USA-703)</t>
  </si>
  <si>
    <t>PI--INK202505030-001-1</t>
  </si>
  <si>
    <t>PPT-238</t>
  </si>
  <si>
    <t>1550
1750</t>
  </si>
  <si>
    <t>CMAU0358935, CAAU6189971, CMAU8564510,
TCNU4058665, MAGU5696935</t>
  </si>
  <si>
    <t>Applaws Cat Dry 3x(1x2kg)</t>
  </si>
  <si>
    <t>255907, 255909, 255910, 255923, 255924</t>
  </si>
  <si>
    <t xml:space="preserve">DESTELDONK </t>
  </si>
  <si>
    <t>HAMU1489483, TCNU7909096, UACU5471021, 
TCNU1767369, TCLU8357923</t>
  </si>
  <si>
    <t>HLCURTM250563904</t>
  </si>
  <si>
    <t>Applaws Cat Tin 1x(24x70g) Chicken Breast</t>
  </si>
  <si>
    <t>255773, 255774</t>
  </si>
  <si>
    <t>PPT-217</t>
  </si>
  <si>
    <t>1650
2100</t>
  </si>
  <si>
    <t>FTAU1050979, SEGU4785550</t>
  </si>
  <si>
    <t>KMTCLCH5217617</t>
  </si>
  <si>
    <t>PI-000208, 000211</t>
  </si>
  <si>
    <t>PPT-202</t>
  </si>
  <si>
    <t xml:space="preserve">HADZICI </t>
  </si>
  <si>
    <t>CSNU7168465, OOLU9399814</t>
  </si>
  <si>
    <t>COSU6419836440</t>
  </si>
  <si>
    <t xml:space="preserve">SFS </t>
  </si>
  <si>
    <t>BIOSAND CAT LITTER SUPERCLIMP WHITE 10L
BIOSAND CAT LITTER SUPERCLIMP WHITE 15L</t>
  </si>
  <si>
    <t>123, 124, 125, 126, 127</t>
  </si>
  <si>
    <t>MAY ORDER</t>
  </si>
  <si>
    <t>TEMU7749465, HLBU1278351, FDCU0177742,
FANU1265459, HLBU1639156</t>
  </si>
  <si>
    <t>HLCUGOA250619157</t>
  </si>
  <si>
    <t xml:space="preserve">STAMDARD </t>
  </si>
  <si>
    <t>Applaws Cat Dry 1x7.5kg Adult Chicken</t>
  </si>
  <si>
    <t>256013, 256014, 256015, 256016,
256017</t>
  </si>
  <si>
    <t>PPT-241</t>
  </si>
  <si>
    <t>DESTELDONK</t>
  </si>
  <si>
    <t>MRKU5154933, GAOU7267221, SUDU6708763,
MRSU6620617, MRKU2392780</t>
  </si>
  <si>
    <t>MAEU254210198</t>
  </si>
  <si>
    <t>256018, 256019, 256020,
256021, 256022</t>
  </si>
  <si>
    <t>MRSU5962087. TLLU5972378, CAAU6449997,
GAOU7384249, TCKU7624709</t>
  </si>
  <si>
    <t>MAEU254210698</t>
  </si>
  <si>
    <t>Applaws Cat Tin 1x(24x70g) Kitten Chicken Breast</t>
  </si>
  <si>
    <t>TLLU2159111</t>
  </si>
  <si>
    <t>255776, 255777, 255778</t>
  </si>
  <si>
    <t>1700
2250</t>
  </si>
  <si>
    <t>KOCU2118560, HMMU6430272, KOCU4984034</t>
  </si>
  <si>
    <t>HDMUSGZA35208000</t>
  </si>
  <si>
    <t>1X20'
2X40'</t>
  </si>
  <si>
    <t>PETCARE</t>
  </si>
  <si>
    <t xml:space="preserve">CAT CREAMY POUCH + SOFT </t>
  </si>
  <si>
    <t>F22002-1, F2500012</t>
  </si>
  <si>
    <t>CAIU9755777, TGBU8071290</t>
  </si>
  <si>
    <t>TAOCB25011989</t>
  </si>
  <si>
    <t>SC2503060401RZ3</t>
  </si>
  <si>
    <t>FCIU2902262, TEMU3968254, TGBU2160641,
CMAU1891595, TCKU1339828, FCIU3185274,
CMAU0410587, TGHU0015369</t>
  </si>
  <si>
    <t>TJN0633546</t>
  </si>
  <si>
    <t>SC2503060401RZ2</t>
  </si>
  <si>
    <t>GESU1252486, TRHU1341865, TEMU5392229,
CMAU0278038, TEMU2584439, CMAU0745620,
CMAU2044949, TLLU8215300</t>
  </si>
  <si>
    <t>TJN0633556</t>
  </si>
  <si>
    <t>SC2503060401RZ4</t>
  </si>
  <si>
    <t>CMAU0561310, CMAU1902215, BEAU2194010,
CARU3724380, TCKU3411500, CMAU2177319,
TCKU1343772, CMAU0324956, CMAU0237234</t>
  </si>
  <si>
    <t>TJN0633553</t>
  </si>
  <si>
    <t>ACA SENIOR D RCP 2KG
ORI SMALL BREED D 1.8KG
ORI ORIGINAL D 2KG</t>
  </si>
  <si>
    <t>PPT-232</t>
  </si>
  <si>
    <t xml:space="preserve">CANADA </t>
  </si>
  <si>
    <t>MSCU5362586</t>
  </si>
  <si>
    <t>MEDUOF642054</t>
  </si>
  <si>
    <t xml:space="preserve">AL-SHARIF </t>
  </si>
  <si>
    <t>INV-M-021</t>
  </si>
  <si>
    <t>ORI SMALL BREED DOG
1.8KG</t>
  </si>
  <si>
    <t>TEMU8313835</t>
  </si>
  <si>
    <t>MEDUOF642062</t>
  </si>
  <si>
    <t>INV-M-022</t>
  </si>
  <si>
    <t>ORI ORIGINAL DOG 2KG</t>
  </si>
  <si>
    <t>BMOU6751607</t>
  </si>
  <si>
    <t>MEDUOF642088</t>
  </si>
  <si>
    <t>INV-M-023</t>
  </si>
  <si>
    <t>MPS</t>
  </si>
  <si>
    <t>BUXO OPEN MIX COL
NELLA KIT W/TEPPY</t>
  </si>
  <si>
    <t>510, 527</t>
  </si>
  <si>
    <t>MRKU5799130, MRKU5843974</t>
  </si>
  <si>
    <t>MAEU255459121</t>
  </si>
  <si>
    <t>INV-M-024</t>
  </si>
  <si>
    <t>SPSCR/INV/25/1030</t>
  </si>
  <si>
    <t>BVK FOLD SOFT BOWL 450ML BLE
SILICONE BOWL MAT SUCKER BLUE</t>
  </si>
  <si>
    <t>PPT-247</t>
  </si>
  <si>
    <t xml:space="preserve">NINGBO </t>
  </si>
  <si>
    <t>CLHU8985380</t>
  </si>
  <si>
    <t>25FR1591</t>
  </si>
  <si>
    <t>BVK FLAT LEAD 10M/15MM BLE
BVK COLLAR 25-35CM 20MM BLE</t>
  </si>
  <si>
    <t>PPT-246</t>
  </si>
  <si>
    <t xml:space="preserve">XIAMEN </t>
  </si>
  <si>
    <t>CéDé rearing food Bianco 1kg
CéDé hand rearing food Energy+ P19-F15 800g</t>
  </si>
  <si>
    <t>20250144, 20250143</t>
  </si>
  <si>
    <t>PPT-226</t>
  </si>
  <si>
    <t xml:space="preserve">EVERGEM </t>
  </si>
  <si>
    <t>1800 EURO</t>
  </si>
  <si>
    <t>APZU4529985, SEGU4003373</t>
  </si>
  <si>
    <t>ANT1904612</t>
  </si>
  <si>
    <t>AL-SHARIF</t>
  </si>
  <si>
    <t>INV-M-029</t>
  </si>
  <si>
    <t>25FR1494</t>
  </si>
  <si>
    <t>INDOOR BEHAVIOR SPRAY CAT 125ML EN/TR/AR</t>
  </si>
  <si>
    <t>PPT-258</t>
  </si>
  <si>
    <t>BREUGEL</t>
  </si>
  <si>
    <t>MRKU9849902</t>
  </si>
  <si>
    <t>MAEU255459741</t>
  </si>
  <si>
    <t>INV-M-028</t>
  </si>
  <si>
    <t>SPSCR/INV/25/0878</t>
  </si>
  <si>
    <t>PPT-250</t>
  </si>
  <si>
    <t>GCXU2141649</t>
  </si>
  <si>
    <t>TAOA77014200</t>
  </si>
  <si>
    <t>166753, 166847</t>
  </si>
  <si>
    <t>25FR1589</t>
  </si>
  <si>
    <t>LAV2025000000863, LAV2025000000864,
LAV2025000000865, LAV2025000000866,
LAV2025000000867</t>
  </si>
  <si>
    <t>BXAU4619452, VOLU4942802, VOLU4927198,
CAIU7855041, BSIU8332014</t>
  </si>
  <si>
    <t>INV-M-030</t>
  </si>
  <si>
    <t>25FR1590</t>
  </si>
  <si>
    <t>LAV2025000000933, LAV2025000000934,
LAV2025000000935, LAV2025000000936,
LAV2025000000937</t>
  </si>
  <si>
    <t>XHCU5653214, BSIU9614183, VSTU9903934,
BSIU8480834, SLVU5022498</t>
  </si>
  <si>
    <t>INV-M-031</t>
  </si>
  <si>
    <t>NETTA MAXI CLOSE MIX COL</t>
  </si>
  <si>
    <t>536, 537</t>
  </si>
  <si>
    <t>CAAU7617293, CAAU7000260</t>
  </si>
  <si>
    <t>MAEU255699446</t>
  </si>
  <si>
    <t>INV-M-026</t>
  </si>
  <si>
    <t>RODYWOOD NATURE LITTER 16L</t>
  </si>
  <si>
    <t>PPT-249</t>
  </si>
  <si>
    <t xml:space="preserve">FRANCE </t>
  </si>
  <si>
    <t xml:space="preserve">DAMAZAN </t>
  </si>
  <si>
    <t>INV-M-027</t>
  </si>
  <si>
    <t>2500708, 2500709</t>
  </si>
  <si>
    <t>PPT-268</t>
  </si>
  <si>
    <t>MEEUWEN</t>
  </si>
  <si>
    <t>1925E</t>
  </si>
  <si>
    <t>MSKU1203327, TXGU5261983</t>
  </si>
  <si>
    <t>MAEU720955165</t>
  </si>
  <si>
    <t>INV-M-025</t>
  </si>
  <si>
    <t xml:space="preserve">ARRIVED AT STARLINK JEDDAH </t>
  </si>
  <si>
    <t>FANG</t>
  </si>
  <si>
    <t>Felyn Go Raw Arctic Char
Felyn Go Raw Cod &amp; Salmon</t>
  </si>
  <si>
    <t>ICELAND</t>
  </si>
  <si>
    <t>AKRANES</t>
  </si>
  <si>
    <t>TEMU7782334</t>
  </si>
  <si>
    <t>INV-M-035</t>
  </si>
  <si>
    <t>25FR1655</t>
  </si>
  <si>
    <t>LAV2025000001108, LAV2025000001109,
LAV2025000001110, LAV2025000001111,
LAV2025000001112</t>
  </si>
  <si>
    <t xml:space="preserve">LYGU4148811, LYGU4149309, CLHU8884954,
GESU5895177, SLVU4754452 </t>
  </si>
  <si>
    <t>INV-M-037</t>
  </si>
  <si>
    <t>25FR1656</t>
  </si>
  <si>
    <t>LAV2025000001120, LAV2025000001121, 
LAV2025000001122, LAV2025000001123,
LAV2025000001124</t>
  </si>
  <si>
    <t>CICU7240205, SLVU6002557, BXAU4598128,
 NYKU4191840, FFAU4011691</t>
  </si>
  <si>
    <t>INV-M-041</t>
  </si>
  <si>
    <t>RUH2507016297</t>
  </si>
  <si>
    <t>PPT-264</t>
  </si>
  <si>
    <t>EGSU3790899</t>
  </si>
  <si>
    <t xml:space="preserve">INTAJ </t>
  </si>
  <si>
    <t>167596, 167715</t>
  </si>
  <si>
    <t>SPSCR/INV/25/1006</t>
  </si>
  <si>
    <t>DC Basic Nature Energy 20kg
DC Selected Meat Beef 200g</t>
  </si>
  <si>
    <t>525003758
REF--62504349</t>
  </si>
  <si>
    <t>PPT-251</t>
  </si>
  <si>
    <t xml:space="preserve">HAMMINKELN </t>
  </si>
  <si>
    <t>MRKU5027693</t>
  </si>
  <si>
    <t>MAEU256910149</t>
  </si>
  <si>
    <t>INV-M-032</t>
  </si>
  <si>
    <t>25FR1721</t>
  </si>
  <si>
    <t>catelux 4.25kg, Daily cat 2kg, help gastro cat dry 2kg</t>
  </si>
  <si>
    <t>570316643, 570316641, 570316766, 
570316760</t>
  </si>
  <si>
    <t>PPT-244</t>
  </si>
  <si>
    <t>SEKU5620461, UETU6303372, CMAU6469134,
FFAU4449029</t>
  </si>
  <si>
    <t>HBG1991883</t>
  </si>
  <si>
    <t>INV-M-040</t>
  </si>
  <si>
    <t>25FR1722</t>
  </si>
  <si>
    <t>570317629, 570317630</t>
  </si>
  <si>
    <t>TRHU7864267, ECMU7533375</t>
  </si>
  <si>
    <t>HBG1991883B</t>
  </si>
  <si>
    <t>INV-M-039</t>
  </si>
  <si>
    <t xml:space="preserve">HUNGARY </t>
  </si>
  <si>
    <t>MRSU7633120</t>
  </si>
  <si>
    <t>MAEU256948518</t>
  </si>
  <si>
    <t>INV-M-034</t>
  </si>
  <si>
    <t xml:space="preserve">OTO S BLUE </t>
  </si>
  <si>
    <t>UETU6944000</t>
  </si>
  <si>
    <t>MAEU256956828</t>
  </si>
  <si>
    <t>INV-M-033</t>
  </si>
  <si>
    <t>25FR1677</t>
  </si>
  <si>
    <t>BVK LED COLLAR LONG-HAIR BLE</t>
  </si>
  <si>
    <t>PPT-248</t>
  </si>
  <si>
    <t xml:space="preserve">SHENZHEN </t>
  </si>
  <si>
    <t>SWS25070113</t>
  </si>
  <si>
    <t>STRADARD</t>
  </si>
  <si>
    <t xml:space="preserve">LOGISTICS </t>
  </si>
  <si>
    <t>22537255, 22537260</t>
  </si>
  <si>
    <t>PPT-269</t>
  </si>
  <si>
    <t>TGBU4939219, CMAU9685203</t>
  </si>
  <si>
    <t>ANT1910457</t>
  </si>
  <si>
    <t>INV-M-038</t>
  </si>
  <si>
    <t xml:space="preserve">ARRIVED AT STARLINK EMG LOCATION </t>
  </si>
  <si>
    <t>HASU4414134</t>
  </si>
  <si>
    <t>MAEU256825640</t>
  </si>
  <si>
    <t>INV-M-042</t>
  </si>
  <si>
    <t>RM01834</t>
  </si>
  <si>
    <t>SL-RUH</t>
  </si>
  <si>
    <t>INSTINCT</t>
  </si>
  <si>
    <t>INSTINCT WET ORIGINAL (CAT) CHICKEN - 3 OZ</t>
  </si>
  <si>
    <t>TLLU2576603</t>
  </si>
  <si>
    <t>BKKA64198200</t>
  </si>
  <si>
    <t>168944. 168991</t>
  </si>
  <si>
    <t>25FR1817</t>
  </si>
  <si>
    <t>Tuna and Salmon 24pcs x 85g
Chicken fillets 24pcs x 85g</t>
  </si>
  <si>
    <t>6/2-24, 6/3-24, 6/4-24, 6/2-25, 6/3-25</t>
  </si>
  <si>
    <t>PPT-134</t>
  </si>
  <si>
    <t>TGBU6991509, TCNU3635696, TLLU4100128,
TGBU6903811, TXGU6094216</t>
  </si>
  <si>
    <t>168733, 168751,
174594</t>
  </si>
  <si>
    <t>25FR1838</t>
  </si>
  <si>
    <t>Kit Cat Classic Clump Apple 10L
Kit Cat MultiCat Cat Sand 20kg -
Mix Berries</t>
  </si>
  <si>
    <t>SOKC000510A</t>
  </si>
  <si>
    <t>PPT-235</t>
  </si>
  <si>
    <t>CAIU2963125, FBIU0367355, FSCU7723340, MSMU1005636, MSNU3202197, MSNU3636871,
TEMU4640320</t>
  </si>
  <si>
    <t>MEDUHW151516</t>
  </si>
  <si>
    <t>169444, 169507, 169582</t>
  </si>
  <si>
    <t>25FR1837</t>
  </si>
  <si>
    <t>Kit Cat Classic Clump Apple 10L
Kit Cat MultiCat Cat Sand 20kg -
Mix Berries</t>
  </si>
  <si>
    <t>SOKC000510B</t>
  </si>
  <si>
    <t>CORU2024436, DRYU2352385, FCIU5952713, 
FCIU6476416, MSDU1139259, MSMU1041891,
MSMU1772216, TCLU7659826</t>
  </si>
  <si>
    <t>MEDUHW151797</t>
  </si>
  <si>
    <t>169284,
169420, 
169490,
169340</t>
  </si>
  <si>
    <t>25FR1910</t>
  </si>
  <si>
    <t>HOLISTIQUE BLENDZ OATMEAL SR 6/4 LB</t>
  </si>
  <si>
    <t>SO-UK-2025030327</t>
  </si>
  <si>
    <t>PPT-211</t>
  </si>
  <si>
    <t>CAAU6665548, TRKU4454655, WFHU5159674</t>
  </si>
  <si>
    <t>INV-M-043</t>
  </si>
  <si>
    <t>25FR1953</t>
  </si>
  <si>
    <t>Simple Solution Hair Lift Mitts - Case of 6</t>
  </si>
  <si>
    <t>CAAU7577550</t>
  </si>
  <si>
    <t>HLCULIV250864280</t>
  </si>
  <si>
    <t>INV-M-044</t>
  </si>
  <si>
    <t xml:space="preserve">ARRIVED AT CUSTOMER WAREHOUSE </t>
  </si>
  <si>
    <t>25FR1974</t>
  </si>
  <si>
    <t>CUSTOMER 
WAREHOUSE
RIYADH</t>
  </si>
  <si>
    <t>Lindocat Soaply Clumping Cat Litter with Refreshing Soap Scent- 10 L</t>
  </si>
  <si>
    <t>PROFORMA80..81..82..83</t>
  </si>
  <si>
    <t>PPT-282</t>
  </si>
  <si>
    <t>CULU6315531, SLVU5017130, VOLU4801450, 
CICU6917610</t>
  </si>
  <si>
    <t xml:space="preserve">LOGISTIS PLUS </t>
  </si>
  <si>
    <t>INV-M-045</t>
  </si>
  <si>
    <t>SPSCR/INV/25/1196</t>
  </si>
  <si>
    <t>ACA KITTEN CHK &amp; FISH EU24 85G
ACA CHICKEN C EU24 85G</t>
  </si>
  <si>
    <t>SAMUTSAKHON</t>
  </si>
  <si>
    <t>TCKU7531231</t>
  </si>
  <si>
    <t>035FX47484</t>
  </si>
  <si>
    <t>SEAPIONEED</t>
  </si>
  <si>
    <t>SPSCR/INV/25/1194</t>
  </si>
  <si>
    <t>PRINCESS EXCELLENCE TINS CHICK/TUNA/RICE
PRINCESS EXCELLENCE CHIC/TUNA/SQUID 70G</t>
  </si>
  <si>
    <t>TCLU3633037</t>
  </si>
  <si>
    <t>HDMUBKKA94049700</t>
  </si>
  <si>
    <t>25FR2020</t>
  </si>
  <si>
    <t>BIOSAND CAT LITTER CLUMPING 5KG</t>
  </si>
  <si>
    <t>180, 181, 182, 183, 184</t>
  </si>
  <si>
    <t>CAAU6668608, MRSU4319121, MRSU6845948, 
MRSU8130202, TCLU6356574</t>
  </si>
  <si>
    <t>MAEU258882490</t>
  </si>
  <si>
    <t>INV-M-046</t>
  </si>
  <si>
    <t>25FR2024</t>
  </si>
  <si>
    <t>Kit Cat Cat Stick - Chicken &amp; Wild Berries 15g</t>
  </si>
  <si>
    <t>SOKC000417</t>
  </si>
  <si>
    <t>PPT-209</t>
  </si>
  <si>
    <t xml:space="preserve">AUSTRIA </t>
  </si>
  <si>
    <t>GASTERN</t>
  </si>
  <si>
    <t>2275E</t>
  </si>
  <si>
    <t>SUDU7729375</t>
  </si>
  <si>
    <t>MAEU258456200</t>
  </si>
  <si>
    <t>INV-M-047</t>
  </si>
  <si>
    <t>RUH2509021281</t>
  </si>
  <si>
    <t>SANAL CAT ANTI HAIR BALL BITES CUP 6X75g</t>
  </si>
  <si>
    <t>PPT-263</t>
  </si>
  <si>
    <t>1710E</t>
  </si>
  <si>
    <t>MRSU4613331</t>
  </si>
  <si>
    <t>MAEU259040715</t>
  </si>
  <si>
    <t xml:space="preserve">ARAMEX </t>
  </si>
  <si>
    <t>FI250326</t>
  </si>
  <si>
    <t>PRATIKO 1 PLASTICA MIX COL. BCA
NETTA MAXI CLOSE MIX COL.</t>
  </si>
  <si>
    <t>759, 760, 761</t>
  </si>
  <si>
    <t>MRSU5002110, TCKU7266626, TGHU9216317</t>
  </si>
  <si>
    <t>MAEU259338401</t>
  </si>
  <si>
    <t>171466, 171769, 171843</t>
  </si>
  <si>
    <t xml:space="preserve">ARRIVED AT  STARLINK RIYADH </t>
  </si>
  <si>
    <t>25FR2102</t>
  </si>
  <si>
    <t>Kit Cat Purr Puree Tuna &amp; Egg Yolk 5x15g</t>
  </si>
  <si>
    <t>SOKC000565</t>
  </si>
  <si>
    <t>PPT-254</t>
  </si>
  <si>
    <t>EISU8361334</t>
  </si>
  <si>
    <t xml:space="preserve">ARRIVED AT STARLINK RIYADH </t>
  </si>
  <si>
    <t>25FR2114</t>
  </si>
  <si>
    <t xml:space="preserve">Kit Cat Deboned Kitten Chicken Toppers 6x50g </t>
  </si>
  <si>
    <t>SOKC000519</t>
  </si>
  <si>
    <t>PPT-240</t>
  </si>
  <si>
    <t>GCXU2127450, KOCU2111720, KOCU2219714</t>
  </si>
  <si>
    <t>HDMUSGZA45720300</t>
  </si>
  <si>
    <t>25FR2115</t>
  </si>
  <si>
    <t>173644, 178181, 173646</t>
  </si>
  <si>
    <t>PPT-203</t>
  </si>
  <si>
    <t>MSKU5167737, MRKU7450641, MSKU2914443</t>
  </si>
  <si>
    <t>MAEU259815754</t>
  </si>
  <si>
    <t>25FR2111</t>
  </si>
  <si>
    <t>CAIU7133250</t>
  </si>
  <si>
    <t>BKKA54588500</t>
  </si>
  <si>
    <t>25FR2160</t>
  </si>
  <si>
    <t xml:space="preserve">UBTECH </t>
  </si>
  <si>
    <t>Smart self-cleaning cat littere box, Saudi Arabia, UK plug,
customized brand and packing materials, with 1 pack odor
eliminator</t>
  </si>
  <si>
    <t>PI--UBTAK20250220001</t>
  </si>
  <si>
    <t>EGHU9831142, EGSU1796943, HMCU9205594</t>
  </si>
  <si>
    <t>SOKC000595</t>
  </si>
  <si>
    <t>PPT-260</t>
  </si>
  <si>
    <t>MSDU4633162</t>
  </si>
  <si>
    <t xml:space="preserve">ARRIVED AT STARILINK RIYADH </t>
  </si>
  <si>
    <t>Kit Cat Gravy Series Tuna &amp; Whitebait 70g</t>
  </si>
  <si>
    <t>SOKC000641A</t>
  </si>
  <si>
    <t>PPT-259</t>
  </si>
  <si>
    <t>MSDU4046421, MSDU4608004</t>
  </si>
  <si>
    <t>Kit Cat Petite Pouch 70g - Chicken &amp; Salmon x24pcs</t>
  </si>
  <si>
    <t>SOKC000511</t>
  </si>
  <si>
    <t>PPT-236</t>
  </si>
  <si>
    <t>CRSU1426609</t>
  </si>
  <si>
    <t>SPSCR/INV/25/1431</t>
  </si>
  <si>
    <t>JIANGSU SCHWARZWALD</t>
  </si>
  <si>
    <t>Pet grooming kit vaccum cleaner</t>
  </si>
  <si>
    <t>25APB-9059</t>
  </si>
  <si>
    <t>TTNU1196431</t>
  </si>
  <si>
    <t>HDMUSHAA15199900</t>
  </si>
  <si>
    <t>174081, 174103</t>
  </si>
  <si>
    <t>25FR2314</t>
  </si>
  <si>
    <t>FELYN GO 10 LITER ALEO VERA
FELYN GO 10 LITER BABY POWDER
FELYN GO 20 LITER ALEO VERA</t>
  </si>
  <si>
    <t>LAV2025000002182, LAV2025000002183,
LAV2025000002181, LAV2025000002180</t>
  </si>
  <si>
    <t>SLVU5020509, HPCU4650910, FCIU9272910, 
ESHU7288195</t>
  </si>
  <si>
    <t>25FR2313</t>
  </si>
  <si>
    <t>LAV2025000002165, LAV2025000002168
LAV2025000002167, LAV2025000002166</t>
  </si>
  <si>
    <t>BSIU8359191, CULU6231282, BXAU4507555,
SLVU6016587</t>
  </si>
  <si>
    <t>174290,
174552</t>
  </si>
  <si>
    <t>JB00063</t>
  </si>
  <si>
    <t xml:space="preserve"> INSTINCT WET ORIGINAL (CAT) CHICKEN - 3 OZ</t>
  </si>
  <si>
    <t>NYKU3893122</t>
  </si>
  <si>
    <t>ONEYBKKFAP474500</t>
  </si>
  <si>
    <t>JFS</t>
  </si>
  <si>
    <t>SOKC000641B</t>
  </si>
  <si>
    <t>TEMU2139270</t>
  </si>
  <si>
    <t>25FR2326</t>
  </si>
  <si>
    <t xml:space="preserve">SEALAND </t>
  </si>
  <si>
    <t>CAT H2O MINI (White over Trans. Black / mini USB pump)</t>
  </si>
  <si>
    <t>KSO25030028</t>
  </si>
  <si>
    <t>PPT-242</t>
  </si>
  <si>
    <t>TCLU8458282</t>
  </si>
  <si>
    <t>EGLV147501390379</t>
  </si>
  <si>
    <t>25FR2336</t>
  </si>
  <si>
    <t>LINDOCAT DOUBLE ACTION 10L
LINDOCAT PRESTIGE 10L
LINDOCAT SOAPLY 10L</t>
  </si>
  <si>
    <t>LAV2025000002276, LAV2025000002277,
LAV2025000002278, LAV2025000002279,
LAV2025000002280, LAV2025000002281,</t>
  </si>
  <si>
    <t>PPT-285</t>
  </si>
  <si>
    <t>ESHU7267818, CICU6997196, XHCU5648120,
 BSIU8459170, BURU6657094, BSIU8358169</t>
  </si>
  <si>
    <t>258069, 258071 (CMC)</t>
  </si>
  <si>
    <t>PPT-245</t>
  </si>
  <si>
    <t>REGU5125230, FFAU6378330</t>
  </si>
  <si>
    <t>SGZCB25002059</t>
  </si>
  <si>
    <t>25FR2372</t>
  </si>
  <si>
    <t xml:space="preserve">JOSERA </t>
  </si>
  <si>
    <t>JOSI DOG AGILO SPORT 15KG
POULTRY MENU 12.5 KG
BAVARO FORCE 28/16 18KG SA
JOSI DOG ACTIVE 15KG</t>
  </si>
  <si>
    <t>570332308, 570332310, 570332469, 
570332474</t>
  </si>
  <si>
    <t>PPT-277</t>
  </si>
  <si>
    <t>HASU4378459, MRKU4455399, CAAU4750337, 
HASU4764810</t>
  </si>
  <si>
    <t>25FR2368</t>
  </si>
  <si>
    <t>LAV2025000002362, LAV2025000002363,
LAV2025000002364, LAV2025000002365,
LAV2025000002366</t>
  </si>
  <si>
    <t xml:space="preserve"> FATSA </t>
  </si>
  <si>
    <t>SLVU4717490, TGCU5331119, BEAU4391301, 
BSIU8477466, CAIU9624479</t>
  </si>
  <si>
    <t>174749,
174910</t>
  </si>
  <si>
    <t xml:space="preserve">Applaws Cat Treat 1x(12x10g) Chicken Freeze Dried
</t>
  </si>
  <si>
    <t>258068 (CMC)</t>
  </si>
  <si>
    <t>OCGU8100501</t>
  </si>
  <si>
    <t>SGZCB25002168</t>
  </si>
  <si>
    <t>CHEWING STICK WITH CHICKEN X10
SWEETIES CHIEN POULET x7</t>
  </si>
  <si>
    <t>OC-3365</t>
  </si>
  <si>
    <t>PPT-281</t>
  </si>
  <si>
    <t>BXAU4611370</t>
  </si>
  <si>
    <t>SEA PIONEER</t>
  </si>
  <si>
    <t>Zupreem Fruitblend - Small Birds - 907g - Case of 12</t>
  </si>
  <si>
    <t xml:space="preserve">SHAWNEE </t>
  </si>
  <si>
    <t>CAIU9764676</t>
  </si>
  <si>
    <t>NAM8023666</t>
  </si>
  <si>
    <t>SPSCR/INV/25/1545</t>
  </si>
  <si>
    <t>Kit Cat Petite Pouch 70g - Classic Chicken x24pcs</t>
  </si>
  <si>
    <t>SOKC000596</t>
  </si>
  <si>
    <t>PPT-261</t>
  </si>
  <si>
    <t>TRHU3014157</t>
  </si>
  <si>
    <t>ONEYSGZF09165900</t>
  </si>
  <si>
    <t>JB00104</t>
  </si>
  <si>
    <t>ACA SMALL BR ADULT DOG RECIPE 2KG
ACA PUPPY RECIPE 11.4KG
ACA ADULT DOG RECIPE 17KG</t>
  </si>
  <si>
    <t>2025000004822
2025000004823
2025000004824</t>
  </si>
  <si>
    <t>PPT266-1,
PPT266-2,PPT266-3</t>
  </si>
  <si>
    <t>FFAU6604823, MSDU6847245, MSMU6068447</t>
  </si>
  <si>
    <t>MEDUVC875469</t>
  </si>
  <si>
    <t>25FR2429</t>
  </si>
  <si>
    <t>LINDOCAT SP PLASTIC 10L MULTICAT Package 7 PAL</t>
  </si>
  <si>
    <t>LAV2025000002477, LAV2025000002478,
LAV2025000002479, LAV2025000002480,
LAV2025000002481, LAV2025000002482</t>
  </si>
  <si>
    <t>PPT-294
PPT-285</t>
  </si>
  <si>
    <t xml:space="preserve">TURYKEY </t>
  </si>
  <si>
    <t>TLLU5878470, CAAU5180820, MRKU4858286, 
CIPU5097293, MRSU5337979, MRKU5141284</t>
  </si>
  <si>
    <t>MAEU262176265</t>
  </si>
  <si>
    <t>176254, 176780</t>
  </si>
  <si>
    <t>25FR2430</t>
  </si>
  <si>
    <t>Applaws Cat Dry 3x(1x1.8kg) Adult Ocean Fish with Salmon
Applaws Cat Dry 3x(1x2kg) Adult</t>
  </si>
  <si>
    <t xml:space="preserve">259100, 259105, 259106, 261758
</t>
  </si>
  <si>
    <t>PPT-270</t>
  </si>
  <si>
    <t>HLBU3079765, UACU5522999, HAMU4009891,
DFSU7482084</t>
  </si>
  <si>
    <t>HLCUBC1251153830</t>
  </si>
  <si>
    <t>25FR2499</t>
  </si>
  <si>
    <t>WEL DC CORE Original 6/300g
WEL WD CORE SB SavMed Ch/Dck 12/85g
WEL DC CORE Kitten 6/300g</t>
  </si>
  <si>
    <t>CD99011916, CD99011917, CD99011918,
CD99011921</t>
  </si>
  <si>
    <t>PPT-284</t>
  </si>
  <si>
    <t>CMAU6833020, SEKU5842535, TCKU6833140, 
TLLU4240515</t>
  </si>
  <si>
    <t>HBG2080775</t>
  </si>
  <si>
    <t>25FR2502</t>
  </si>
  <si>
    <t>FELYN GO 20 LITER ALEO VERA
FELYN GO 10 LITER ALEO VERA</t>
  </si>
  <si>
    <t>LAV2025000002775, LAV2025000002776
LAV2025000002777, LAV2025000002778,
LAV2025000002779, LAV2025000002780</t>
  </si>
  <si>
    <t>PPT-255</t>
  </si>
  <si>
    <t>SEKU4604975, MRSU4482653, TCKU6776923, 
MRKU5836363, MRSU4606760, MRKU6112038</t>
  </si>
  <si>
    <t>MAEU262873678</t>
  </si>
  <si>
    <t>SPSCR/INV/26/0004</t>
  </si>
  <si>
    <t>ACA LAMB 85G
ACA TUNA WITH CHICKEN 85G</t>
  </si>
  <si>
    <t>SAKHON</t>
  </si>
  <si>
    <t>CAIU9225165</t>
  </si>
  <si>
    <t>GOSUBKK80428864</t>
  </si>
  <si>
    <t xml:space="preserve">SEAPIONEER </t>
  </si>
  <si>
    <t>25FR2503</t>
  </si>
  <si>
    <t>LAV2025000002736, LAV2025000002737,
LAV2025000002738, LAV2025000002739,
LAV2025000002740, LAV2025000002741</t>
  </si>
  <si>
    <t>MRSU8138857, HASU4564983, FFAU5753843,
MRSU3709125, MRSU7137840, SUDU8892221</t>
  </si>
  <si>
    <t>MAEU262850065</t>
  </si>
  <si>
    <t>25FR2506</t>
  </si>
  <si>
    <t>Applaws Cat Dry 3x(1x1.8kg) Adult Ocean Fish with Salmon
Applaws Cat Dry 3x(1x2kg) Adult</t>
  </si>
  <si>
    <t>259101, 259102</t>
  </si>
  <si>
    <t>TXGU6827252, FANU1098006</t>
  </si>
  <si>
    <t>HLCUBC1251226329</t>
  </si>
  <si>
    <t>25FR2549</t>
  </si>
  <si>
    <t>LAV2025000002928, LAV2025000002929,
LAV2025000002930, LAV2025000002931,
LAV2025000002932</t>
  </si>
  <si>
    <t>PPT-302</t>
  </si>
  <si>
    <t>MRKU5795161, MRSU7700234, MRKU3251960,
MSKU9192131, MRKU5884130</t>
  </si>
  <si>
    <t>MAEU263455170</t>
  </si>
  <si>
    <t>25FR2479</t>
  </si>
  <si>
    <t>Kit Cat Classic Clump Charcoal 10L</t>
  </si>
  <si>
    <t>SOKC000597</t>
  </si>
  <si>
    <t>PPT-262</t>
  </si>
  <si>
    <t xml:space="preserve">DALIAN </t>
  </si>
  <si>
    <t>FBIU0424922, FCIU6396178, FTAU1260342,
GLDU9441287, GLDU9444917, MEDU6561980,
MEDU6579741, MEDU6810779, TGHU1950108</t>
  </si>
  <si>
    <t>179984,
180076</t>
  </si>
  <si>
    <t>SPSCR/INV/26/0103</t>
  </si>
  <si>
    <t>SOKC000679</t>
  </si>
  <si>
    <t>PPT-272</t>
  </si>
  <si>
    <t>TCNU5337052, TRHU7329390</t>
  </si>
  <si>
    <t>RUH2512030523</t>
  </si>
  <si>
    <t>Kit Cat 5 in 1 Cat Wipes 80pcs</t>
  </si>
  <si>
    <t>SOKC000512</t>
  </si>
  <si>
    <t>PPT-237</t>
  </si>
  <si>
    <t>EGHU3530136</t>
  </si>
  <si>
    <t>RUH2512030595</t>
  </si>
  <si>
    <t>Kit Cat Urinary Care Supplement Powder 150g</t>
  </si>
  <si>
    <t>SOKC000645</t>
  </si>
  <si>
    <t>PPT-267</t>
  </si>
  <si>
    <t>EITU0252270</t>
  </si>
  <si>
    <t>26FR0218</t>
  </si>
  <si>
    <t>BUDGIES GOURMET 1KG
PLP AFRIC.PARR.MIX 2,5KG</t>
  </si>
  <si>
    <t>DG2528445</t>
  </si>
  <si>
    <t xml:space="preserve">AMIR/CAT PLANET </t>
  </si>
  <si>
    <t>MSKU5473090</t>
  </si>
  <si>
    <t>179830,
180151</t>
  </si>
  <si>
    <t>25FR2565</t>
  </si>
  <si>
    <t>PARROT MEGA FRUIT 15KG
CRISPY MUESLI RABBIT10KG</t>
  </si>
  <si>
    <t>DG2528241, DG2528240, DG2528242</t>
  </si>
  <si>
    <t>MRSU5177058, MRSU6827538, MRKU5423246</t>
  </si>
  <si>
    <t>MAEU263450052</t>
  </si>
  <si>
    <t>JC00063</t>
  </si>
  <si>
    <t>LACTOL FEEDING SET
VITAMIN B COMPLEX 50ML
DUO JUNIOR PASTE CAT 100G</t>
  </si>
  <si>
    <t>PPT-299</t>
  </si>
  <si>
    <t>Breugel</t>
  </si>
  <si>
    <t>MRKU6650856</t>
  </si>
  <si>
    <t>MAEU263792138</t>
  </si>
  <si>
    <t>PurrPuree Tuna &amp; Egg Yolk 75g ( 5 sachets x 15g )</t>
  </si>
  <si>
    <t>SOKC000832</t>
  </si>
  <si>
    <t>PPT-291</t>
  </si>
  <si>
    <t>OOCU8214381</t>
  </si>
  <si>
    <t>COSU9505462390</t>
  </si>
  <si>
    <t xml:space="preserve">GLOBLE LINK </t>
  </si>
  <si>
    <t>25FR2480</t>
  </si>
  <si>
    <t>570337755, 570337761,570337757,
 (570337754, 570337762)</t>
  </si>
  <si>
    <t>CAIU8853402, TRHU5951510, UETU7509028</t>
  </si>
  <si>
    <t>Applaws Cat Treat 1x(12x10g) Chicken Freeze Dried</t>
  </si>
  <si>
    <t>258067 (AAI)</t>
  </si>
  <si>
    <t>KSSU1003550</t>
  </si>
  <si>
    <t>KUEHNE NAGEL</t>
  </si>
  <si>
    <t>SPSCR/INV/26/0234</t>
  </si>
  <si>
    <t>WEL WC CORE SS Shred Ch/Turk
WEL WC CORE SS Shred Ch/CLvr</t>
  </si>
  <si>
    <t>CD99011980</t>
  </si>
  <si>
    <t xml:space="preserve">LEAM CHABANG </t>
  </si>
  <si>
    <t>WHSU5477184</t>
  </si>
  <si>
    <t>SPSCR/INV/26/0237</t>
  </si>
  <si>
    <t>2026000000183, 2026000000265</t>
  </si>
  <si>
    <t>PPT-266</t>
  </si>
  <si>
    <t>WHSU2903115, WHSU5371150</t>
  </si>
  <si>
    <t>JC00105</t>
  </si>
  <si>
    <t>Kit Cat Deboned Chicken &amp; Beef Toppers 80g</t>
  </si>
  <si>
    <t>SOKC000684A</t>
  </si>
  <si>
    <t>PPT-273</t>
  </si>
  <si>
    <t>2x40'</t>
  </si>
  <si>
    <t>JC00109</t>
  </si>
  <si>
    <t>SOKC000684B</t>
  </si>
  <si>
    <t>1x20'</t>
  </si>
  <si>
    <t>181878
181895</t>
  </si>
  <si>
    <t>LINDOCAT SOAPLY 10L
LINDOCAT SOAPLY 5L</t>
  </si>
  <si>
    <t>LAV2026000000331
LAV2026000000332, LAV2026000000333
LAV2026000000334, LAV2026000000335</t>
  </si>
  <si>
    <t>HAMU2804825, HAMU1313299, FCIU7438410,
HAMU4521193, FANU3830097</t>
  </si>
  <si>
    <t>HLCUIZ1260149424</t>
  </si>
  <si>
    <t>RUH/O/DN/26/0163533</t>
  </si>
  <si>
    <t>HLBU2039855</t>
  </si>
  <si>
    <t>26FR0416
26FR0475</t>
  </si>
  <si>
    <t>NB F16
PARROTS
CANARIES PROMO 1.2KG</t>
  </si>
  <si>
    <t>987698, 987703, 987528</t>
  </si>
  <si>
    <t>PETS
TIME</t>
  </si>
  <si>
    <t xml:space="preserve">BELGUIM </t>
  </si>
  <si>
    <t>BMOU6408521, CMAU0595140, TRHU386 8011</t>
  </si>
  <si>
    <t>2X20'
1X40'</t>
  </si>
  <si>
    <t>51569
51824 (WCS)</t>
  </si>
  <si>
    <t>PRATIKO 2 METAL MIX COL. BCA
SKUDO 4 IATA GREY PET
PRODUCTS TRADING</t>
  </si>
  <si>
    <t>TRHU4494533</t>
  </si>
  <si>
    <t>ARRIVED AT SL JEDDAH</t>
  </si>
  <si>
    <t>26FR0512
26FR0533</t>
  </si>
  <si>
    <t>STL-JED</t>
  </si>
  <si>
    <t xml:space="preserve">JOSICAT CRUNCHY CHICKEN 18KG
</t>
  </si>
  <si>
    <t>570344898, 570344886, 570344829,
570344822, 570344644, 570344524,
570345069, 570345059, 570345053,
570344489, 570344318, 570344284,
570344178</t>
  </si>
  <si>
    <t>PPT-301</t>
  </si>
  <si>
    <t>MRKU2073530, MRKU3494364, PONU8112379,
MRSU5732910, MSKU1739454, MRKU5617030,
TCNU2609199, MRKU3540095, SUDU6760817,
MRSU3236887, MRKU6384205, MRSU4117060,      
MRKU5420674</t>
  </si>
  <si>
    <t>26FR0412
26FR0531</t>
  </si>
  <si>
    <t>LAV2026000000706, LAV2026000000707, 
LAV2026000000708, LAV2026000000709,
LAV2026000000710</t>
  </si>
  <si>
    <t>HASU4277176, HASU4129374, TLLU6858837, MRKU4570160, MRSU7542015</t>
  </si>
  <si>
    <t>MAEU266504529</t>
  </si>
  <si>
    <t xml:space="preserve">STARNDARD </t>
  </si>
  <si>
    <t>26FR0410
26FR0532</t>
  </si>
  <si>
    <t>LAV2026000000829, LAV2026000000830, 
LAV2026000000831, LAV2026000000832,
LAV2026000000833</t>
  </si>
  <si>
    <t>MRKU5011450, UETU8445777, CAAU8978270,
MRKU6376030, GAOU7176097</t>
  </si>
  <si>
    <t>MAEU266879949</t>
  </si>
  <si>
    <t>26FR0571</t>
  </si>
  <si>
    <t>400g cans</t>
  </si>
  <si>
    <t xml:space="preserve">ITTERVOORT </t>
  </si>
  <si>
    <t>UETU6296041</t>
  </si>
  <si>
    <t>1X40'</t>
  </si>
  <si>
    <t xml:space="preserve">DELIVERED TO SHIP GO </t>
  </si>
  <si>
    <t>Ship GO</t>
  </si>
  <si>
    <t>2 (PLTS)</t>
  </si>
  <si>
    <t>VENOM WHITE</t>
  </si>
  <si>
    <t>PSI-048058</t>
  </si>
  <si>
    <t xml:space="preserve">DUBAI </t>
  </si>
  <si>
    <t xml:space="preserve">RIYADH </t>
  </si>
  <si>
    <t>OOCU8227291</t>
  </si>
  <si>
    <t>JEA/RUH/CSS/210862</t>
  </si>
  <si>
    <t>LCL</t>
  </si>
  <si>
    <t xml:space="preserve">CIF </t>
  </si>
  <si>
    <t>5 (PLTS)</t>
  </si>
  <si>
    <t>PSI-048057</t>
  </si>
  <si>
    <t>INDIA</t>
  </si>
  <si>
    <t>WBPU7001826</t>
  </si>
  <si>
    <t>NSA/JEA/CSSI/168383</t>
  </si>
  <si>
    <t>26FR0235</t>
  </si>
  <si>
    <t xml:space="preserve">NON </t>
  </si>
  <si>
    <t>Kit Cat Classic Clump Green Tea 10L</t>
  </si>
  <si>
    <t>SOKC000817A</t>
  </si>
  <si>
    <t>PPT-289</t>
  </si>
  <si>
    <t>CMAU0262480, TRHU1527042, MAGU2314793, 
TEMU5250564, TEMU5958260, TEMU2855443,
CMAU0577018</t>
  </si>
  <si>
    <t>184076
184733
10938</t>
  </si>
  <si>
    <t>26FR0234</t>
  </si>
  <si>
    <t>SOKC000817B</t>
  </si>
  <si>
    <t>CMAU0349260, SEGU1296616, TRHU2327732,
TEMU3689202, CMAU0512629, TCLU7449630,
TEMU3307845, TEMU0950380</t>
  </si>
  <si>
    <t>184077
184389
10939</t>
  </si>
  <si>
    <t>SPSCR/INV/26/0339</t>
  </si>
  <si>
    <t>Applaws Cat Dry Food Chicken 2kg
Applaws Cat Dry Food Chicken with duck 2kg</t>
  </si>
  <si>
    <t>262569, 262570, 262571, 262572, 262573, 
262574, 262577</t>
  </si>
  <si>
    <t>PPT-293</t>
  </si>
  <si>
    <t>MRSU9121951, TRHU4150538, MRSU8250018, 
MRKU3576570, FFAU7427851, MRSU9190891,
SUDU8577575</t>
  </si>
  <si>
    <t xml:space="preserve">DO CHARGES SAR 5688 + MAWANI CHARGES SAR 3850 PAID BY PET PRODUCTS </t>
  </si>
  <si>
    <t>SPSCR/INV/26/0365</t>
  </si>
  <si>
    <t>KITCAT</t>
  </si>
  <si>
    <t>Kit Cat Goat Milk For Kittens 300ml ( 6 X 50ml )</t>
  </si>
  <si>
    <t>SOKC000818</t>
  </si>
  <si>
    <t>PPT-290</t>
  </si>
  <si>
    <t>CMAU3852432</t>
  </si>
  <si>
    <t>PULSE LINE LOGISTICS</t>
  </si>
  <si>
    <t>FI260916</t>
  </si>
  <si>
    <t>LAV2026000001500..1504</t>
  </si>
  <si>
    <t>DIRECT CUSTOMER</t>
  </si>
  <si>
    <t>LindoCat Prestige - Cat Litter 5L</t>
  </si>
  <si>
    <t>PROFORMA141, PROFORMA142, PROFORMA143, PROFORMA144, 
PROFORMA145</t>
  </si>
  <si>
    <t>PPT-322</t>
  </si>
  <si>
    <t>FI260961</t>
  </si>
  <si>
    <t xml:space="preserve">REQUESTED AGENT TO DIVERT THE SHIPEMNT TO JEDDAHH </t>
  </si>
  <si>
    <t>Felyn Go Creamy Lickable Cat Treats Chicken
Felyn Go Creamy Lickable Cat Treats Tuna</t>
  </si>
  <si>
    <t>PPT-306</t>
  </si>
  <si>
    <t>PCIU9261690</t>
  </si>
  <si>
    <t>JITEX</t>
  </si>
  <si>
    <t>container discharged at Mundra port--waiting for connecting vessel</t>
  </si>
  <si>
    <t>SOKC000819</t>
  </si>
  <si>
    <t>PPT-288</t>
  </si>
  <si>
    <t>REGU5165790</t>
  </si>
  <si>
    <t>SPSCR/INV/26/0367</t>
  </si>
  <si>
    <t>Kit Cat Deboned Kitten Chicken Toppers 6x50g</t>
  </si>
  <si>
    <t>SOKC000873</t>
  </si>
  <si>
    <t>PPT-310</t>
  </si>
  <si>
    <t>BHCU3147616, TLLU2322851, GESU1366318</t>
  </si>
  <si>
    <t xml:space="preserve">PULSE LINE LOGISTICS </t>
  </si>
  <si>
    <t>FI260947</t>
  </si>
  <si>
    <t>SOKC000820</t>
  </si>
  <si>
    <t>PPT-286</t>
  </si>
  <si>
    <t>UNDER PHYSICAL INSPECTION</t>
  </si>
  <si>
    <t>262567, 262568, 262575, 262576,  262578, 262579</t>
  </si>
  <si>
    <t>FFAU4768495, MRSU4498351, MRSU4581131, 
MRSU7567688, MRSU9099375</t>
  </si>
  <si>
    <t>DOCUMENTS SUBMITTED FOR CLEARANCE</t>
  </si>
  <si>
    <t>LindoCat Soaply Cat Litter 10L</t>
  </si>
  <si>
    <t>LAV2026000001659, LAV2026000001660,
LAV2026000001661, LAV2026000001663,
LAV2026000001662</t>
  </si>
  <si>
    <t>PPT-325</t>
  </si>
  <si>
    <t>TURYKA</t>
  </si>
  <si>
    <t>WHSU5166393, WHSU5937000, TIIU6398370, 
WHSU6342075, WHSU6803011</t>
  </si>
  <si>
    <t>138GA01564</t>
  </si>
  <si>
    <t>SPSCR/INV/26/0366</t>
  </si>
  <si>
    <t>SOKC000879</t>
  </si>
  <si>
    <t>PPT-308</t>
  </si>
  <si>
    <t>TCNU2997556, TGBU5290063, TGBU4149657,
CAIU9751684</t>
  </si>
  <si>
    <t>Felyn Go Cat Litter Apple 20 KG
Felyn Go Cat Litter Baby Powder 10L</t>
  </si>
  <si>
    <t>SC2511100402RZ</t>
  </si>
  <si>
    <t>PPT-292</t>
  </si>
  <si>
    <t xml:space="preserve">IN TRANSIT </t>
  </si>
  <si>
    <t>Felyn Go Rehydrate Soup With Beef</t>
  </si>
  <si>
    <t>PI--20107</t>
  </si>
  <si>
    <t xml:space="preserve">  </t>
  </si>
  <si>
    <t>TRLU2975522</t>
  </si>
  <si>
    <t>Applaws Cat Dry 6x(1x400g) Chicken with Duck</t>
  </si>
  <si>
    <t>NB A19 250G
NB A19 800G</t>
  </si>
  <si>
    <t>DG2609049, DG2609048, DG2609047, 
DG2609046, DG2609104, DG2609106,
DG2609107</t>
  </si>
  <si>
    <t>PPT-313
PPT-320</t>
  </si>
  <si>
    <t>TCNU315171, CMAU790486, ECMU548930, CAIU969896, CMAU923858, SELU424154,
TRHU798033</t>
  </si>
  <si>
    <t>GLOBE LINK</t>
  </si>
  <si>
    <t xml:space="preserve">CONTAINER LOADED </t>
  </si>
  <si>
    <t>PPT-311</t>
  </si>
  <si>
    <t>ECNU2289064</t>
  </si>
  <si>
    <t xml:space="preserve">CONTAINER BOOKING --ADVANCE PAYMENT </t>
  </si>
  <si>
    <t>SOKC000893</t>
  </si>
  <si>
    <t>PPT-312</t>
  </si>
  <si>
    <t>CHICKEN CAT WET 12X85g</t>
  </si>
  <si>
    <t>PPT-300</t>
  </si>
  <si>
    <t xml:space="preserve">MEPPEN </t>
  </si>
  <si>
    <t>FFAU3877275</t>
  </si>
  <si>
    <t xml:space="preserve">3 CONTAINERS LOADED </t>
  </si>
  <si>
    <t>Josera Catelux 15kg
catelux 4.25kg</t>
  </si>
  <si>
    <t xml:space="preserve">303276820, 303276873, 303277109,
303276860 </t>
  </si>
  <si>
    <t>PPT-323</t>
  </si>
  <si>
    <t>HC'</t>
  </si>
  <si>
    <t>LOADING FROM 27th TO 29th</t>
  </si>
  <si>
    <t xml:space="preserve">303277118, 303277121,303277193 </t>
  </si>
  <si>
    <t>LOADING ON 1st JUNE</t>
  </si>
  <si>
    <t xml:space="preserve">CONTAINER BOOKING </t>
  </si>
  <si>
    <t>PROFORMA150, PROFORMA151,
 PROFORMA153, PROFORMA154, PROFORMA155</t>
  </si>
  <si>
    <t>PN25114, PN25112</t>
  </si>
  <si>
    <t>JSF</t>
  </si>
  <si>
    <t>PN25110</t>
  </si>
  <si>
    <t>PROFORMA 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</si>
</sst>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&quot;-&quot;mmm&quot;-&quot;yyyy"/>
    <numFmt numFmtId="165" formatCode="d-mmm-yy"/>
    <numFmt numFmtId="166" formatCode="&quot;$&quot;#,##0"/>
    <numFmt numFmtId="167" formatCode="[$€]#,##0"/>
    <numFmt numFmtId="168" formatCode="dmmmyyyy"/>
    <numFmt numFmtId="169" formatCode="d-mmmyy"/>
    <numFmt numFmtId="170" formatCode="dd-mmm-yy"/>
    <numFmt numFmtId="171" formatCode="yy-mmm-d"/>
    <numFmt numFmtId="172" formatCode="d-mmmm-yy"/>
    <numFmt numFmtId="173" formatCode="dd-mmmm-yy"/>
    <numFmt numFmtId="174" formatCode="&quot;$&quot;#,##0.00"/>
    <numFmt numFmtId="175" formatCode="d-mmm-yyyy"/>
    <numFmt numFmtId="176" formatCode="[$€]#,##0.00"/>
    <numFmt numFmtId="177" formatCode="d-mmmmyy"/>
    <numFmt numFmtId="178" formatCode="d-mmmm-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Calibri"/>
    </font>
    <font>
      <b/>
      <sz val="14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0"/>
      <name val="Calibri"/>
    </font>
    <font>
      <b/>
      <sz val="13.0"/>
      <color rgb="FF000000"/>
      <name val="Arial"/>
      <scheme val="minor"/>
    </font>
    <font>
      <color rgb="FF000000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  <font>
      <sz val="13.0"/>
      <color theme="1"/>
      <name val="Arial"/>
      <scheme val="minor"/>
    </font>
    <font>
      <b/>
      <sz val="13.0"/>
      <color rgb="FF1155CC"/>
      <name val="Arial"/>
      <scheme val="minor"/>
    </font>
    <font>
      <b/>
      <color rgb="FF1155CC"/>
      <name val="Arial"/>
      <scheme val="minor"/>
    </font>
    <font>
      <sz val="10.0"/>
      <color theme="1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b/>
      <sz val="21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b/>
      <sz val="20.0"/>
      <color theme="1"/>
      <name val="Arial"/>
      <scheme val="minor"/>
    </font>
    <font>
      <sz val="12.0"/>
      <color theme="1"/>
      <name val="Arial"/>
      <scheme val="minor"/>
    </font>
    <font>
      <b/>
      <sz val="9.0"/>
      <color theme="1"/>
      <name val="Arial"/>
      <scheme val="minor"/>
    </font>
    <font>
      <sz val="13.0"/>
      <color theme="1"/>
      <name val="Calibri"/>
    </font>
    <font>
      <sz val="11.0"/>
      <color rgb="FF14141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3" numFmtId="165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6" numFmtId="164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8" numFmtId="165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" numFmtId="165" xfId="0" applyAlignment="1" applyBorder="1" applyFont="1" applyNumberFormat="1">
      <alignment horizontal="center" readingOrder="0" shrinkToFit="0" vertical="center" wrapText="1"/>
    </xf>
    <xf borderId="1" fillId="3" fontId="1" numFmtId="166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vertical="center"/>
    </xf>
    <xf borderId="1" fillId="3" fontId="1" numFmtId="167" xfId="0" applyAlignment="1" applyBorder="1" applyFont="1" applyNumberFormat="1">
      <alignment horizontal="center" readingOrder="0" shrinkToFit="0" vertical="center" wrapText="1"/>
    </xf>
    <xf borderId="1" fillId="3" fontId="8" numFmtId="168" xfId="0" applyAlignment="1" applyBorder="1" applyFont="1" applyNumberFormat="1">
      <alignment horizontal="center" readingOrder="0" shrinkToFit="0" vertical="center" wrapText="1"/>
    </xf>
    <xf borderId="1" fillId="3" fontId="8" numFmtId="169" xfId="0" applyAlignment="1" applyBorder="1" applyFont="1" applyNumberFormat="1">
      <alignment horizontal="center" readingOrder="0" shrinkToFit="0" vertical="center" wrapText="1"/>
    </xf>
    <xf borderId="1" fillId="3" fontId="1" numFmtId="170" xfId="0" applyAlignment="1" applyBorder="1" applyFont="1" applyNumberFormat="1">
      <alignment horizontal="center" readingOrder="0" shrinkToFit="0" vertical="center" wrapText="1"/>
    </xf>
    <xf borderId="1" fillId="3" fontId="8" numFmtId="170" xfId="0" applyAlignment="1" applyBorder="1" applyFont="1" applyNumberFormat="1">
      <alignment horizontal="center" readingOrder="0" shrinkToFit="0" vertical="center" wrapText="1"/>
    </xf>
    <xf borderId="1" fillId="3" fontId="1" numFmtId="171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1" fillId="3" fontId="13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vertical="center"/>
    </xf>
    <xf borderId="1" fillId="3" fontId="8" numFmtId="172" xfId="0" applyAlignment="1" applyBorder="1" applyFont="1" applyNumberForma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1" numFmtId="172" xfId="0" applyAlignment="1" applyBorder="1" applyFont="1" applyNumberFormat="1">
      <alignment horizontal="center" readingOrder="0" shrinkToFit="0" vertical="center" wrapText="1"/>
    </xf>
    <xf borderId="1" fillId="3" fontId="9" numFmtId="165" xfId="0" applyAlignment="1" applyBorder="1" applyFont="1" applyNumberFormat="1">
      <alignment horizontal="center" readingOrder="0" shrinkToFit="0" vertical="center" wrapText="1"/>
    </xf>
    <xf borderId="1" fillId="3" fontId="10" numFmtId="166" xfId="0" applyAlignment="1" applyBorder="1" applyFont="1" applyNumberFormat="1">
      <alignment horizontal="center" readingOrder="0" shrinkToFit="0" vertical="center" wrapText="1"/>
    </xf>
    <xf borderId="1" fillId="3" fontId="8" numFmtId="173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174" xfId="0" applyAlignment="1" applyBorder="1" applyFont="1" applyNumberFormat="1">
      <alignment horizontal="center" readingOrder="0" shrinkToFit="0" vertical="center" wrapText="1"/>
    </xf>
    <xf borderId="1" fillId="3" fontId="13" numFmtId="164" xfId="0" applyAlignment="1" applyBorder="1" applyFont="1" applyNumberFormat="1">
      <alignment horizontal="center" readingOrder="0" shrinkToFit="0" vertical="center" wrapText="1"/>
    </xf>
    <xf borderId="1" fillId="3" fontId="1" numFmtId="175" xfId="0" applyAlignment="1" applyBorder="1" applyFont="1" applyNumberForma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5" numFmtId="165" xfId="0" applyAlignment="1" applyBorder="1" applyFont="1" applyNumberFormat="1">
      <alignment horizontal="center" readingOrder="0" shrinkToFit="0" vertical="center" wrapText="1"/>
    </xf>
    <xf borderId="1" fillId="3" fontId="16" numFmtId="164" xfId="0" applyAlignment="1" applyBorder="1" applyFont="1" applyNumberFormat="1">
      <alignment horizontal="center" readingOrder="0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10" numFmtId="165" xfId="0" applyAlignment="1" applyBorder="1" applyFont="1" applyNumberForma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15" numFmtId="170" xfId="0" applyAlignment="1" applyBorder="1" applyFont="1" applyNumberFormat="1">
      <alignment horizontal="center" readingOrder="0" shrinkToFit="0" vertical="center" wrapText="1"/>
    </xf>
    <xf borderId="1" fillId="3" fontId="10" numFmtId="164" xfId="0" applyAlignment="1" applyBorder="1" applyFont="1" applyNumberFormat="1">
      <alignment horizontal="center" readingOrder="0" shrinkToFit="0" vertical="center" wrapText="1"/>
    </xf>
    <xf borderId="1" fillId="3" fontId="1" numFmtId="176" xfId="0" applyAlignment="1" applyBorder="1" applyFont="1" applyNumberFormat="1">
      <alignment horizontal="center" readingOrder="0" shrinkToFit="0" vertical="center" wrapText="1"/>
    </xf>
    <xf borderId="1" fillId="3" fontId="18" numFmtId="164" xfId="0" applyAlignment="1" applyBorder="1" applyFont="1" applyNumberFormat="1">
      <alignment horizontal="center" readingOrder="0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21" numFmtId="164" xfId="0" applyAlignment="1" applyBorder="1" applyFont="1" applyNumberFormat="1">
      <alignment horizontal="center" readingOrder="0" shrinkToFit="0" vertical="center" wrapText="1"/>
    </xf>
    <xf borderId="1" fillId="3" fontId="10" numFmtId="167" xfId="0" applyAlignment="1" applyBorder="1" applyFont="1" applyNumberFormat="1">
      <alignment horizontal="center" readingOrder="0" shrinkToFit="0" vertical="center" wrapText="1"/>
    </xf>
    <xf borderId="1" fillId="3" fontId="22" numFmtId="165" xfId="0" applyAlignment="1" applyBorder="1" applyFont="1" applyNumberForma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1" numFmtId="177" xfId="0" applyAlignment="1" applyBorder="1" applyFont="1" applyNumberFormat="1">
      <alignment horizontal="center" readingOrder="0" shrinkToFit="0" vertical="center" wrapText="1"/>
    </xf>
    <xf borderId="1" fillId="3" fontId="25" numFmtId="0" xfId="0" applyAlignment="1" applyBorder="1" applyFont="1">
      <alignment horizontal="center" readingOrder="0" shrinkToFit="0" vertical="center" wrapText="1"/>
    </xf>
    <xf borderId="1" fillId="3" fontId="26" numFmtId="164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" numFmtId="176" xfId="0" applyAlignment="1" applyBorder="1" applyFont="1" applyNumberForma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1" fillId="4" fontId="26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28" numFmtId="0" xfId="0" applyAlignment="1" applyBorder="1" applyFont="1">
      <alignment horizontal="center" readingOrder="0" shrinkToFit="0" vertical="center" wrapText="1"/>
    </xf>
    <xf borderId="1" fillId="4" fontId="1" numFmtId="178" xfId="0" applyAlignment="1" applyBorder="1" applyFont="1" applyNumberFormat="1">
      <alignment horizontal="center" readingOrder="0" shrinkToFit="0" vertical="center" wrapText="1"/>
    </xf>
    <xf borderId="1" fillId="4" fontId="1" numFmtId="172" xfId="0" applyAlignment="1" applyBorder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1" fillId="5" fontId="1" numFmtId="165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5" fontId="26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readingOrder="0" shrinkToFit="0" vertical="center" wrapText="1"/>
    </xf>
    <xf borderId="1" fillId="5" fontId="27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4" fontId="29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readingOrder="0" shrinkToFit="0" vertical="center" wrapText="1"/>
    </xf>
    <xf borderId="1" fillId="4" fontId="30" numFmtId="0" xfId="0" applyAlignment="1" applyBorder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1" fillId="6" fontId="1" numFmtId="172" xfId="0" applyAlignment="1" applyBorder="1" applyFont="1" applyNumberFormat="1">
      <alignment horizontal="center" readingOrder="0" shrinkToFit="0" vertical="center" wrapText="1"/>
    </xf>
    <xf borderId="1" fillId="6" fontId="1" numFmtId="165" xfId="0" applyAlignment="1" applyBorder="1" applyFont="1" applyNumberForma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26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readingOrder="0" shrinkToFit="0" vertical="center" wrapText="1"/>
    </xf>
    <xf borderId="1" fillId="6" fontId="27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5" fontId="1" numFmtId="172" xfId="0" applyAlignment="1" applyBorder="1" applyFont="1" applyNumberFormat="1">
      <alignment horizontal="center" readingOrder="0" shrinkToFit="0" vertical="center" wrapText="1"/>
    </xf>
    <xf borderId="1" fillId="5" fontId="30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" numFmtId="175" xfId="0" applyAlignment="1" applyBorder="1" applyFont="1" applyNumberFormat="1">
      <alignment horizontal="center" readingOrder="0" shrinkToFit="0" vertical="center" wrapText="1"/>
    </xf>
    <xf borderId="1" fillId="5" fontId="27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3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7" fontId="1" numFmtId="165" xfId="0" applyAlignment="1" applyBorder="1" applyFill="1" applyFont="1" applyNumberFormat="1">
      <alignment horizontal="center" readingOrder="0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13" numFmtId="164" xfId="0" applyAlignment="1" applyBorder="1" applyFont="1" applyNumberFormat="1">
      <alignment horizontal="center" readingOrder="0" shrinkToFit="0" vertical="center" wrapText="1"/>
    </xf>
    <xf borderId="1" fillId="5" fontId="17" numFmtId="0" xfId="0" applyAlignment="1" applyBorder="1" applyFont="1">
      <alignment horizontal="center" readingOrder="0" shrinkToFit="0" vertical="center" wrapText="1"/>
    </xf>
    <xf borderId="1" fillId="5" fontId="1" numFmtId="170" xfId="0" applyAlignment="1" applyBorder="1" applyFont="1" applyNumberFormat="1">
      <alignment horizontal="center" readingOrder="0" shrinkToFit="0" vertical="center" wrapText="1"/>
    </xf>
    <xf borderId="1" fillId="5" fontId="13" numFmtId="165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0" fillId="5" fontId="1" numFmtId="170" xfId="0" applyAlignment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vertical="center"/>
    </xf>
    <xf borderId="1" fillId="8" fontId="1" numFmtId="165" xfId="0" applyAlignment="1" applyBorder="1" applyFill="1" applyFont="1" applyNumberForma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1" fillId="8" fontId="11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ont="1">
      <alignment horizontal="center" readingOrder="0" shrinkToFit="0" vertical="center" wrapText="1"/>
    </xf>
    <xf borderId="1" fillId="8" fontId="1" numFmtId="164" xfId="0" applyAlignment="1" applyBorder="1" applyFont="1" applyNumberFormat="1">
      <alignment horizontal="center" readingOrder="0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5" fontId="1" numFmtId="2" xfId="0" applyAlignment="1" applyBorder="1" applyFont="1" applyNumberFormat="1">
      <alignment horizontal="center" readingOrder="0" shrinkToFit="0" vertical="center" wrapText="1"/>
    </xf>
    <xf borderId="1" fillId="5" fontId="10" numFmtId="164" xfId="0" applyAlignment="1" applyBorder="1" applyFont="1" applyNumberForma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" numFmtId="178" xfId="0" applyAlignment="1" applyBorder="1" applyFont="1" applyNumberFormat="1">
      <alignment horizontal="center" readingOrder="0" shrinkToFit="0" vertical="center" wrapText="1"/>
    </xf>
    <xf borderId="1" fillId="5" fontId="10" numFmtId="2" xfId="0" applyAlignment="1" applyBorder="1" applyFont="1" applyNumberFormat="1">
      <alignment horizontal="center" readingOrder="0" shrinkToFit="0" vertical="center" wrapText="1"/>
    </xf>
    <xf borderId="1" fillId="5" fontId="22" numFmtId="178" xfId="0" applyAlignment="1" applyBorder="1" applyFont="1" applyNumberFormat="1">
      <alignment horizontal="center" readingOrder="0" shrinkToFit="0" vertical="center" wrapText="1"/>
    </xf>
    <xf borderId="0" fillId="9" fontId="10" numFmtId="0" xfId="0" applyAlignment="1" applyFill="1" applyFont="1">
      <alignment horizontal="center" shrinkToFit="0" vertical="center" wrapText="1"/>
    </xf>
    <xf borderId="1" fillId="9" fontId="10" numFmtId="175" xfId="0" applyAlignment="1" applyBorder="1" applyFont="1" applyNumberForma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10" numFmtId="164" xfId="0" applyAlignment="1" applyBorder="1" applyFont="1" applyNumberFormat="1">
      <alignment horizontal="center" shrinkToFit="0" vertical="center" wrapText="1"/>
    </xf>
    <xf borderId="1" fillId="9" fontId="9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9" fontId="17" numFmtId="0" xfId="0" applyAlignment="1" applyBorder="1" applyFont="1">
      <alignment horizontal="center" readingOrder="0" shrinkToFit="0" vertical="center" wrapText="1"/>
    </xf>
    <xf borderId="1" fillId="9" fontId="12" numFmtId="0" xfId="0" applyAlignment="1" applyBorder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shrinkToFit="0" vertical="center" wrapText="1"/>
    </xf>
    <xf borderId="1" fillId="10" fontId="1" numFmtId="175" xfId="0" applyAlignment="1" applyBorder="1" applyFont="1" applyNumberForma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1" fillId="12" fontId="17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10" fontId="11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ont="1">
      <alignment horizontal="center" readingOrder="0" shrinkToFit="0" vertical="center" wrapText="1"/>
    </xf>
    <xf borderId="1" fillId="10" fontId="1" numFmtId="164" xfId="0" applyAlignment="1" applyBorder="1" applyFont="1" applyNumberFormat="1">
      <alignment horizontal="center" shrinkToFit="0" vertical="center" wrapText="1"/>
    </xf>
    <xf borderId="1" fillId="10" fontId="9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0" fillId="11" fontId="32" numFmtId="0" xfId="0" applyAlignment="1" applyFont="1">
      <alignment readingOrder="0"/>
    </xf>
    <xf borderId="1" fillId="10" fontId="1" numFmtId="178" xfId="0" applyAlignment="1" applyBorder="1" applyFont="1" applyNumberFormat="1">
      <alignment horizontal="center" readingOrder="0" shrinkToFit="0" vertical="center" wrapText="1"/>
    </xf>
    <xf borderId="1" fillId="13" fontId="17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ont="1">
      <alignment horizontal="center" readingOrder="0" shrinkToFit="0" vertical="center" wrapText="1"/>
    </xf>
    <xf borderId="0" fillId="14" fontId="1" numFmtId="0" xfId="0" applyAlignment="1" applyFill="1" applyFont="1">
      <alignment horizontal="center" shrinkToFit="0" vertical="center" wrapText="1"/>
    </xf>
    <xf borderId="1" fillId="14" fontId="1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ont="1">
      <alignment horizontal="center" shrinkToFit="0" vertical="center" wrapText="1"/>
    </xf>
    <xf borderId="1" fillId="14" fontId="10" numFmtId="0" xfId="0" applyAlignment="1" applyBorder="1" applyFont="1">
      <alignment horizontal="center" shrinkToFit="0" vertical="center" wrapText="1"/>
    </xf>
    <xf borderId="1" fillId="14" fontId="8" numFmtId="0" xfId="0" applyAlignment="1" applyBorder="1" applyFont="1">
      <alignment horizontal="center" readingOrder="0" shrinkToFit="0" vertical="center" wrapText="1"/>
    </xf>
    <xf borderId="1" fillId="14" fontId="11" numFmtId="0" xfId="0" applyAlignment="1" applyBorder="1" applyFont="1">
      <alignment horizontal="center" readingOrder="0" shrinkToFit="0" vertical="center" wrapText="1"/>
    </xf>
    <xf borderId="1" fillId="14" fontId="12" numFmtId="0" xfId="0" applyAlignment="1" applyBorder="1" applyFont="1">
      <alignment horizontal="center" readingOrder="0" shrinkToFit="0" vertical="center" wrapText="1"/>
    </xf>
    <xf borderId="1" fillId="14" fontId="1" numFmtId="164" xfId="0" applyAlignment="1" applyBorder="1" applyFont="1" applyNumberFormat="1">
      <alignment horizontal="center" shrinkToFit="0" vertical="center" wrapText="1"/>
    </xf>
    <xf borderId="1" fillId="14" fontId="9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1" numFmtId="164" xfId="0" applyAlignment="1" applyFont="1" applyNumberForma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3" width="11.0"/>
    <col customWidth="1" min="4" max="4" width="12.25"/>
    <col customWidth="1" min="5" max="5" width="30.38"/>
    <col customWidth="1" min="6" max="6" width="18.88"/>
    <col customWidth="1" min="7" max="7" width="10.75"/>
    <col customWidth="1" min="8" max="8" width="12.63"/>
    <col customWidth="1" min="9" max="9" width="12.38"/>
    <col customWidth="1" min="10" max="11" width="10.38"/>
    <col customWidth="1" min="12" max="12" width="19.25"/>
    <col customWidth="1" min="13" max="13" width="30.25"/>
    <col customWidth="1" min="14" max="14" width="33.13"/>
    <col customWidth="1" min="15" max="15" width="9.88"/>
    <col customWidth="1" min="16" max="16" width="16.75"/>
    <col customWidth="1" min="17" max="17" width="12.75"/>
    <col customWidth="1" min="18" max="18" width="12.25"/>
    <col customWidth="1" min="19" max="19" width="12.75"/>
    <col customWidth="1" min="20" max="20" width="14.38"/>
    <col customWidth="1" min="21" max="21" width="39.25"/>
    <col customWidth="1" min="22" max="22" width="18.5"/>
    <col customWidth="1" min="23" max="23" width="15.13"/>
    <col customWidth="1" min="24" max="24" width="8.38"/>
    <col customWidth="1" min="25" max="25" width="10.88"/>
    <col customWidth="1" min="26" max="26" width="11.13"/>
    <col customWidth="1" min="27" max="27" width="14.0"/>
    <col customWidth="1" min="28" max="28" width="15.63"/>
    <col customWidth="1" min="29" max="30" width="12.5"/>
    <col customWidth="1" min="31" max="31" width="12.38"/>
    <col customWidth="1" min="32" max="32" width="66.5"/>
    <col customWidth="1" min="33" max="33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2" t="s">
        <v>18</v>
      </c>
      <c r="T1" s="8" t="s">
        <v>19</v>
      </c>
      <c r="U1" s="7" t="s">
        <v>20</v>
      </c>
      <c r="V1" s="7" t="s">
        <v>21</v>
      </c>
      <c r="W1" s="2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2" t="s">
        <v>28</v>
      </c>
      <c r="AD1" s="2" t="s">
        <v>29</v>
      </c>
      <c r="AE1" s="2" t="s">
        <v>30</v>
      </c>
      <c r="AF1" s="7" t="s">
        <v>31</v>
      </c>
      <c r="AG1" s="7" t="s">
        <v>32</v>
      </c>
      <c r="AH1" s="7" t="s">
        <v>33</v>
      </c>
      <c r="AI1" s="9" t="s">
        <v>34</v>
      </c>
      <c r="AJ1" s="9" t="s">
        <v>35</v>
      </c>
      <c r="AK1" s="9" t="s">
        <v>36</v>
      </c>
    </row>
    <row r="2" hidden="1">
      <c r="A2" s="10">
        <v>1.0</v>
      </c>
      <c r="B2" s="11">
        <v>44823.0</v>
      </c>
      <c r="C2" s="12">
        <v>0.0</v>
      </c>
      <c r="D2" s="12">
        <f t="shared" ref="D2:D109" si="1">IF(C2-TODAY()&gt;0,C2-TODAY(),0)</f>
        <v>0</v>
      </c>
      <c r="E2" s="12" t="s">
        <v>37</v>
      </c>
      <c r="F2" s="13"/>
      <c r="G2" s="14"/>
      <c r="H2" s="15"/>
      <c r="I2" s="16">
        <v>1.0</v>
      </c>
      <c r="J2" s="17"/>
      <c r="K2" s="18">
        <v>44863.0</v>
      </c>
      <c r="L2" s="19" t="s">
        <v>38</v>
      </c>
      <c r="M2" s="12" t="s">
        <v>39</v>
      </c>
      <c r="N2" s="12" t="s">
        <v>40</v>
      </c>
      <c r="O2" s="12" t="s">
        <v>41</v>
      </c>
      <c r="P2" s="12">
        <v>93087.0</v>
      </c>
      <c r="Q2" s="12" t="s">
        <v>42</v>
      </c>
      <c r="R2" s="12" t="s">
        <v>43</v>
      </c>
      <c r="S2" s="13"/>
      <c r="T2" s="12"/>
      <c r="U2" s="12" t="s">
        <v>44</v>
      </c>
      <c r="V2" s="12" t="s">
        <v>45</v>
      </c>
      <c r="W2" s="12" t="s">
        <v>46</v>
      </c>
      <c r="X2" s="12" t="s">
        <v>47</v>
      </c>
      <c r="Y2" s="12" t="s">
        <v>48</v>
      </c>
      <c r="Z2" s="12" t="s">
        <v>49</v>
      </c>
      <c r="AA2" s="12" t="s">
        <v>50</v>
      </c>
      <c r="AB2" s="12" t="s">
        <v>51</v>
      </c>
      <c r="AC2" s="13"/>
      <c r="AD2" s="13"/>
      <c r="AE2" s="13"/>
      <c r="AF2" s="13"/>
      <c r="AG2" s="13"/>
      <c r="AH2" s="10" t="s">
        <v>52</v>
      </c>
      <c r="AI2" s="10"/>
      <c r="AJ2" s="10"/>
      <c r="AK2" s="10"/>
    </row>
    <row r="3" hidden="1">
      <c r="A3" s="10">
        <v>2.0</v>
      </c>
      <c r="B3" s="11">
        <v>44823.0</v>
      </c>
      <c r="C3" s="12">
        <v>0.0</v>
      </c>
      <c r="D3" s="12">
        <f t="shared" si="1"/>
        <v>0</v>
      </c>
      <c r="E3" s="12" t="s">
        <v>37</v>
      </c>
      <c r="F3" s="12"/>
      <c r="G3" s="20"/>
      <c r="H3" s="15"/>
      <c r="I3" s="16">
        <v>1.0</v>
      </c>
      <c r="J3" s="17"/>
      <c r="K3" s="18">
        <v>44874.0</v>
      </c>
      <c r="L3" s="19" t="s">
        <v>53</v>
      </c>
      <c r="M3" s="12" t="s">
        <v>54</v>
      </c>
      <c r="N3" s="12" t="s">
        <v>55</v>
      </c>
      <c r="O3" s="12" t="s">
        <v>56</v>
      </c>
      <c r="P3" s="12">
        <v>22619.0</v>
      </c>
      <c r="Q3" s="12" t="s">
        <v>57</v>
      </c>
      <c r="R3" s="12" t="s">
        <v>58</v>
      </c>
      <c r="S3" s="12"/>
      <c r="T3" s="12"/>
      <c r="U3" s="12" t="s">
        <v>59</v>
      </c>
      <c r="V3" s="13"/>
      <c r="W3" s="12" t="s">
        <v>60</v>
      </c>
      <c r="X3" s="12" t="s">
        <v>47</v>
      </c>
      <c r="Y3" s="12" t="s">
        <v>48</v>
      </c>
      <c r="Z3" s="12" t="s">
        <v>61</v>
      </c>
      <c r="AA3" s="12" t="s">
        <v>62</v>
      </c>
      <c r="AB3" s="12" t="s">
        <v>51</v>
      </c>
      <c r="AC3" s="12"/>
      <c r="AD3" s="12"/>
      <c r="AE3" s="12"/>
      <c r="AF3" s="12"/>
      <c r="AG3" s="12" t="s">
        <v>63</v>
      </c>
      <c r="AH3" s="10" t="s">
        <v>52</v>
      </c>
      <c r="AI3" s="10"/>
      <c r="AJ3" s="10"/>
      <c r="AK3" s="10"/>
    </row>
    <row r="4" hidden="1">
      <c r="A4" s="10">
        <v>3.0</v>
      </c>
      <c r="B4" s="11">
        <v>44847.0</v>
      </c>
      <c r="C4" s="12">
        <v>0.0</v>
      </c>
      <c r="D4" s="12">
        <f t="shared" si="1"/>
        <v>0</v>
      </c>
      <c r="E4" s="12" t="s">
        <v>37</v>
      </c>
      <c r="F4" s="13"/>
      <c r="G4" s="14"/>
      <c r="H4" s="21"/>
      <c r="I4" s="16">
        <v>1.0</v>
      </c>
      <c r="J4" s="17"/>
      <c r="K4" s="22">
        <v>44875.0</v>
      </c>
      <c r="L4" s="19" t="s">
        <v>64</v>
      </c>
      <c r="M4" s="12" t="s">
        <v>65</v>
      </c>
      <c r="N4" s="12">
        <v>2648943.0</v>
      </c>
      <c r="O4" s="12" t="s">
        <v>66</v>
      </c>
      <c r="P4" s="12">
        <v>98504.0</v>
      </c>
      <c r="Q4" s="12" t="s">
        <v>67</v>
      </c>
      <c r="R4" s="12" t="s">
        <v>68</v>
      </c>
      <c r="S4" s="13"/>
      <c r="T4" s="12"/>
      <c r="U4" s="12" t="s">
        <v>69</v>
      </c>
      <c r="V4" s="12" t="s">
        <v>70</v>
      </c>
      <c r="W4" s="12" t="s">
        <v>71</v>
      </c>
      <c r="X4" s="12" t="s">
        <v>47</v>
      </c>
      <c r="Y4" s="12" t="s">
        <v>48</v>
      </c>
      <c r="Z4" s="12" t="s">
        <v>49</v>
      </c>
      <c r="AA4" s="12" t="s">
        <v>72</v>
      </c>
      <c r="AB4" s="12" t="s">
        <v>73</v>
      </c>
      <c r="AC4" s="13"/>
      <c r="AD4" s="13"/>
      <c r="AE4" s="13"/>
      <c r="AF4" s="13"/>
      <c r="AG4" s="13"/>
      <c r="AH4" s="10" t="s">
        <v>52</v>
      </c>
      <c r="AI4" s="10"/>
      <c r="AJ4" s="10"/>
      <c r="AK4" s="10"/>
    </row>
    <row r="5" hidden="1">
      <c r="A5" s="10">
        <v>4.0</v>
      </c>
      <c r="B5" s="11">
        <v>44837.0</v>
      </c>
      <c r="C5" s="12">
        <v>0.0</v>
      </c>
      <c r="D5" s="12">
        <f t="shared" si="1"/>
        <v>0</v>
      </c>
      <c r="E5" s="12" t="s">
        <v>37</v>
      </c>
      <c r="F5" s="13"/>
      <c r="G5" s="14"/>
      <c r="H5" s="15"/>
      <c r="I5" s="16">
        <v>4.0</v>
      </c>
      <c r="J5" s="17"/>
      <c r="K5" s="18">
        <v>44877.0</v>
      </c>
      <c r="L5" s="19" t="s">
        <v>38</v>
      </c>
      <c r="M5" s="12" t="s">
        <v>39</v>
      </c>
      <c r="N5" s="12" t="s">
        <v>74</v>
      </c>
      <c r="O5" s="12" t="s">
        <v>41</v>
      </c>
      <c r="P5" s="12">
        <v>98509.0</v>
      </c>
      <c r="Q5" s="12" t="s">
        <v>42</v>
      </c>
      <c r="R5" s="12" t="s">
        <v>43</v>
      </c>
      <c r="S5" s="13"/>
      <c r="T5" s="12"/>
      <c r="U5" s="12" t="s">
        <v>75</v>
      </c>
      <c r="V5" s="12" t="s">
        <v>76</v>
      </c>
      <c r="W5" s="12" t="s">
        <v>77</v>
      </c>
      <c r="X5" s="12" t="s">
        <v>47</v>
      </c>
      <c r="Y5" s="12" t="s">
        <v>48</v>
      </c>
      <c r="Z5" s="12" t="s">
        <v>49</v>
      </c>
      <c r="AA5" s="12" t="s">
        <v>50</v>
      </c>
      <c r="AB5" s="12" t="s">
        <v>51</v>
      </c>
      <c r="AC5" s="13"/>
      <c r="AD5" s="13"/>
      <c r="AE5" s="13"/>
      <c r="AF5" s="13"/>
      <c r="AG5" s="13"/>
      <c r="AH5" s="10" t="s">
        <v>52</v>
      </c>
      <c r="AI5" s="10"/>
      <c r="AJ5" s="10"/>
      <c r="AK5" s="10"/>
    </row>
    <row r="6" hidden="1">
      <c r="A6" s="10">
        <v>5.0</v>
      </c>
      <c r="B6" s="11">
        <v>44841.0</v>
      </c>
      <c r="C6" s="12">
        <v>0.0</v>
      </c>
      <c r="D6" s="12">
        <f t="shared" si="1"/>
        <v>0</v>
      </c>
      <c r="E6" s="12" t="s">
        <v>37</v>
      </c>
      <c r="F6" s="12"/>
      <c r="G6" s="20"/>
      <c r="H6" s="21"/>
      <c r="I6" s="16">
        <v>1.0</v>
      </c>
      <c r="J6" s="17"/>
      <c r="K6" s="22">
        <v>44885.0</v>
      </c>
      <c r="L6" s="23" t="s">
        <v>78</v>
      </c>
      <c r="M6" s="12" t="s">
        <v>79</v>
      </c>
      <c r="N6" s="12">
        <v>915.0</v>
      </c>
      <c r="O6" s="12" t="s">
        <v>66</v>
      </c>
      <c r="P6" s="12">
        <v>101166.0</v>
      </c>
      <c r="Q6" s="12" t="s">
        <v>80</v>
      </c>
      <c r="R6" s="12" t="s">
        <v>81</v>
      </c>
      <c r="S6" s="12"/>
      <c r="T6" s="12"/>
      <c r="U6" s="12" t="s">
        <v>82</v>
      </c>
      <c r="V6" s="12" t="s">
        <v>83</v>
      </c>
      <c r="W6" s="12" t="s">
        <v>84</v>
      </c>
      <c r="X6" s="12" t="s">
        <v>47</v>
      </c>
      <c r="Y6" s="12" t="s">
        <v>48</v>
      </c>
      <c r="Z6" s="12" t="s">
        <v>49</v>
      </c>
      <c r="AA6" s="12" t="s">
        <v>62</v>
      </c>
      <c r="AB6" s="12" t="s">
        <v>73</v>
      </c>
      <c r="AC6" s="12"/>
      <c r="AD6" s="12"/>
      <c r="AE6" s="12"/>
      <c r="AF6" s="12" t="s">
        <v>85</v>
      </c>
      <c r="AG6" s="13"/>
      <c r="AH6" s="10" t="s">
        <v>52</v>
      </c>
      <c r="AI6" s="10"/>
      <c r="AJ6" s="10"/>
      <c r="AK6" s="10"/>
    </row>
    <row r="7" hidden="1">
      <c r="A7" s="10">
        <v>6.0</v>
      </c>
      <c r="B7" s="11">
        <v>44827.0</v>
      </c>
      <c r="C7" s="12">
        <v>0.0</v>
      </c>
      <c r="D7" s="12">
        <f t="shared" si="1"/>
        <v>0</v>
      </c>
      <c r="E7" s="12" t="s">
        <v>37</v>
      </c>
      <c r="F7" s="12"/>
      <c r="G7" s="20"/>
      <c r="H7" s="24"/>
      <c r="I7" s="16">
        <v>1.0</v>
      </c>
      <c r="J7" s="17"/>
      <c r="K7" s="22">
        <v>44889.0</v>
      </c>
      <c r="L7" s="23" t="s">
        <v>86</v>
      </c>
      <c r="M7" s="12" t="s">
        <v>87</v>
      </c>
      <c r="N7" s="12" t="s">
        <v>88</v>
      </c>
      <c r="O7" s="12" t="s">
        <v>66</v>
      </c>
      <c r="P7" s="13"/>
      <c r="Q7" s="12" t="s">
        <v>80</v>
      </c>
      <c r="R7" s="12" t="s">
        <v>89</v>
      </c>
      <c r="S7" s="12"/>
      <c r="T7" s="13"/>
      <c r="U7" s="13"/>
      <c r="V7" s="13"/>
      <c r="W7" s="12">
        <v>9.23690467E9</v>
      </c>
      <c r="X7" s="12" t="s">
        <v>90</v>
      </c>
      <c r="Y7" s="12" t="s">
        <v>91</v>
      </c>
      <c r="Z7" s="12" t="s">
        <v>92</v>
      </c>
      <c r="AA7" s="12" t="s">
        <v>91</v>
      </c>
      <c r="AB7" s="12" t="s">
        <v>93</v>
      </c>
      <c r="AC7" s="12"/>
      <c r="AD7" s="12"/>
      <c r="AE7" s="12"/>
      <c r="AF7" s="12" t="s">
        <v>94</v>
      </c>
      <c r="AG7" s="13"/>
      <c r="AH7" s="10" t="s">
        <v>52</v>
      </c>
      <c r="AI7" s="10"/>
      <c r="AJ7" s="10"/>
      <c r="AK7" s="10"/>
    </row>
    <row r="8" hidden="1">
      <c r="A8" s="10">
        <v>7.0</v>
      </c>
      <c r="B8" s="11">
        <v>44887.0</v>
      </c>
      <c r="C8" s="12">
        <v>0.0</v>
      </c>
      <c r="D8" s="12">
        <f t="shared" si="1"/>
        <v>0</v>
      </c>
      <c r="E8" s="12" t="s">
        <v>37</v>
      </c>
      <c r="F8" s="25"/>
      <c r="G8" s="26"/>
      <c r="H8" s="21"/>
      <c r="I8" s="27">
        <v>1.0</v>
      </c>
      <c r="J8" s="28"/>
      <c r="K8" s="22">
        <v>44889.0</v>
      </c>
      <c r="L8" s="23" t="s">
        <v>95</v>
      </c>
      <c r="M8" s="25" t="s">
        <v>96</v>
      </c>
      <c r="N8" s="25" t="s">
        <v>97</v>
      </c>
      <c r="O8" s="25" t="s">
        <v>98</v>
      </c>
      <c r="P8" s="25">
        <v>2054963.0</v>
      </c>
      <c r="Q8" s="12" t="s">
        <v>42</v>
      </c>
      <c r="R8" s="25" t="s">
        <v>99</v>
      </c>
      <c r="S8" s="25"/>
      <c r="T8" s="29"/>
      <c r="U8" s="29"/>
      <c r="V8" s="25" t="s">
        <v>100</v>
      </c>
      <c r="W8" s="25" t="s">
        <v>101</v>
      </c>
      <c r="X8" s="25" t="s">
        <v>90</v>
      </c>
      <c r="Y8" s="25" t="s">
        <v>91</v>
      </c>
      <c r="Z8" s="25" t="s">
        <v>102</v>
      </c>
      <c r="AA8" s="25" t="s">
        <v>91</v>
      </c>
      <c r="AB8" s="25" t="s">
        <v>51</v>
      </c>
      <c r="AC8" s="25"/>
      <c r="AD8" s="25"/>
      <c r="AE8" s="25"/>
      <c r="AF8" s="25"/>
      <c r="AG8" s="29"/>
      <c r="AH8" s="10" t="s">
        <v>52</v>
      </c>
      <c r="AI8" s="10"/>
      <c r="AJ8" s="10"/>
      <c r="AK8" s="10"/>
    </row>
    <row r="9" hidden="1">
      <c r="A9" s="10">
        <v>8.0</v>
      </c>
      <c r="B9" s="11">
        <v>44855.0</v>
      </c>
      <c r="C9" s="12">
        <v>0.0</v>
      </c>
      <c r="D9" s="12">
        <f t="shared" si="1"/>
        <v>0</v>
      </c>
      <c r="E9" s="12" t="s">
        <v>37</v>
      </c>
      <c r="F9" s="12"/>
      <c r="G9" s="20"/>
      <c r="H9" s="15"/>
      <c r="I9" s="16">
        <v>3.0</v>
      </c>
      <c r="J9" s="17"/>
      <c r="K9" s="18">
        <v>44894.0</v>
      </c>
      <c r="L9" s="19" t="s">
        <v>38</v>
      </c>
      <c r="M9" s="12" t="s">
        <v>103</v>
      </c>
      <c r="N9" s="12" t="s">
        <v>104</v>
      </c>
      <c r="O9" s="12" t="s">
        <v>66</v>
      </c>
      <c r="P9" s="12">
        <v>104732.0</v>
      </c>
      <c r="Q9" s="12" t="s">
        <v>42</v>
      </c>
      <c r="R9" s="12" t="s">
        <v>105</v>
      </c>
      <c r="S9" s="12"/>
      <c r="T9" s="12"/>
      <c r="U9" s="12" t="s">
        <v>106</v>
      </c>
      <c r="V9" s="12" t="s">
        <v>107</v>
      </c>
      <c r="W9" s="12" t="s">
        <v>108</v>
      </c>
      <c r="X9" s="12" t="s">
        <v>47</v>
      </c>
      <c r="Y9" s="12" t="s">
        <v>48</v>
      </c>
      <c r="Z9" s="12" t="s">
        <v>49</v>
      </c>
      <c r="AA9" s="12" t="s">
        <v>62</v>
      </c>
      <c r="AB9" s="12" t="s">
        <v>51</v>
      </c>
      <c r="AC9" s="12"/>
      <c r="AD9" s="12"/>
      <c r="AE9" s="12"/>
      <c r="AF9" s="12"/>
      <c r="AG9" s="13"/>
      <c r="AH9" s="10" t="s">
        <v>52</v>
      </c>
      <c r="AI9" s="10"/>
      <c r="AJ9" s="10"/>
      <c r="AK9" s="10"/>
    </row>
    <row r="10" hidden="1">
      <c r="A10" s="10">
        <v>9.0</v>
      </c>
      <c r="B10" s="11">
        <v>44860.0</v>
      </c>
      <c r="C10" s="12">
        <v>0.0</v>
      </c>
      <c r="D10" s="12">
        <f t="shared" si="1"/>
        <v>0</v>
      </c>
      <c r="E10" s="12" t="s">
        <v>37</v>
      </c>
      <c r="F10" s="25"/>
      <c r="G10" s="26"/>
      <c r="H10" s="21"/>
      <c r="I10" s="27">
        <v>1.0</v>
      </c>
      <c r="J10" s="28"/>
      <c r="K10" s="22">
        <v>44895.0</v>
      </c>
      <c r="L10" s="19" t="s">
        <v>38</v>
      </c>
      <c r="M10" s="12" t="s">
        <v>109</v>
      </c>
      <c r="N10" s="25" t="s">
        <v>110</v>
      </c>
      <c r="O10" s="25" t="s">
        <v>66</v>
      </c>
      <c r="P10" s="25">
        <v>203410.0</v>
      </c>
      <c r="Q10" s="12" t="s">
        <v>67</v>
      </c>
      <c r="R10" s="25" t="s">
        <v>111</v>
      </c>
      <c r="S10" s="25"/>
      <c r="T10" s="25"/>
      <c r="U10" s="25" t="s">
        <v>112</v>
      </c>
      <c r="V10" s="29"/>
      <c r="W10" s="25" t="s">
        <v>113</v>
      </c>
      <c r="X10" s="12" t="s">
        <v>47</v>
      </c>
      <c r="Y10" s="12" t="s">
        <v>48</v>
      </c>
      <c r="Z10" s="25" t="s">
        <v>49</v>
      </c>
      <c r="AA10" s="25" t="s">
        <v>50</v>
      </c>
      <c r="AB10" s="25" t="s">
        <v>114</v>
      </c>
      <c r="AC10" s="25"/>
      <c r="AD10" s="25"/>
      <c r="AE10" s="25"/>
      <c r="AF10" s="25"/>
      <c r="AG10" s="29"/>
      <c r="AH10" s="10" t="s">
        <v>52</v>
      </c>
      <c r="AI10" s="10"/>
      <c r="AJ10" s="10"/>
      <c r="AK10" s="10"/>
    </row>
    <row r="11" hidden="1">
      <c r="A11" s="10">
        <v>10.0</v>
      </c>
      <c r="B11" s="11">
        <v>44788.0</v>
      </c>
      <c r="C11" s="12">
        <v>0.0</v>
      </c>
      <c r="D11" s="12">
        <f t="shared" si="1"/>
        <v>0</v>
      </c>
      <c r="E11" s="12" t="s">
        <v>37</v>
      </c>
      <c r="F11" s="13"/>
      <c r="G11" s="14"/>
      <c r="H11" s="15"/>
      <c r="I11" s="16">
        <v>8.0</v>
      </c>
      <c r="J11" s="17"/>
      <c r="K11" s="18">
        <v>44896.0</v>
      </c>
      <c r="L11" s="19" t="s">
        <v>38</v>
      </c>
      <c r="M11" s="25" t="s">
        <v>54</v>
      </c>
      <c r="N11" s="12" t="s">
        <v>115</v>
      </c>
      <c r="O11" s="12">
        <v>0.0</v>
      </c>
      <c r="P11" s="12">
        <v>98503.0</v>
      </c>
      <c r="Q11" s="12" t="s">
        <v>67</v>
      </c>
      <c r="R11" s="12" t="s">
        <v>116</v>
      </c>
      <c r="S11" s="13"/>
      <c r="T11" s="12"/>
      <c r="U11" s="12" t="s">
        <v>117</v>
      </c>
      <c r="V11" s="12" t="s">
        <v>118</v>
      </c>
      <c r="W11" s="12" t="s">
        <v>119</v>
      </c>
      <c r="X11" s="12" t="s">
        <v>47</v>
      </c>
      <c r="Y11" s="12" t="s">
        <v>120</v>
      </c>
      <c r="Z11" s="12" t="s">
        <v>49</v>
      </c>
      <c r="AA11" s="12" t="s">
        <v>72</v>
      </c>
      <c r="AB11" s="12" t="s">
        <v>73</v>
      </c>
      <c r="AC11" s="13"/>
      <c r="AD11" s="13"/>
      <c r="AE11" s="13"/>
      <c r="AF11" s="13"/>
      <c r="AG11" s="13"/>
      <c r="AH11" s="10" t="s">
        <v>52</v>
      </c>
      <c r="AI11" s="10"/>
      <c r="AJ11" s="10"/>
      <c r="AK11" s="10"/>
    </row>
    <row r="12" hidden="1">
      <c r="A12" s="10">
        <v>11.0</v>
      </c>
      <c r="B12" s="11">
        <v>44859.0</v>
      </c>
      <c r="C12" s="12">
        <v>0.0</v>
      </c>
      <c r="D12" s="12">
        <f t="shared" si="1"/>
        <v>0</v>
      </c>
      <c r="E12" s="12" t="s">
        <v>37</v>
      </c>
      <c r="F12" s="29"/>
      <c r="G12" s="30"/>
      <c r="H12" s="21"/>
      <c r="I12" s="27">
        <v>1.0</v>
      </c>
      <c r="J12" s="28"/>
      <c r="K12" s="22">
        <v>44902.0</v>
      </c>
      <c r="L12" s="19" t="s">
        <v>53</v>
      </c>
      <c r="M12" s="12" t="s">
        <v>121</v>
      </c>
      <c r="N12" s="25" t="s">
        <v>122</v>
      </c>
      <c r="O12" s="25" t="s">
        <v>123</v>
      </c>
      <c r="P12" s="25">
        <v>107280.0</v>
      </c>
      <c r="Q12" s="12" t="s">
        <v>57</v>
      </c>
      <c r="R12" s="12" t="s">
        <v>58</v>
      </c>
      <c r="S12" s="29"/>
      <c r="T12" s="25"/>
      <c r="U12" s="25" t="s">
        <v>124</v>
      </c>
      <c r="V12" s="29"/>
      <c r="W12" s="25" t="s">
        <v>125</v>
      </c>
      <c r="X12" s="25" t="s">
        <v>47</v>
      </c>
      <c r="Y12" s="25" t="s">
        <v>48</v>
      </c>
      <c r="Z12" s="25" t="s">
        <v>61</v>
      </c>
      <c r="AA12" s="25" t="s">
        <v>62</v>
      </c>
      <c r="AB12" s="25" t="s">
        <v>51</v>
      </c>
      <c r="AC12" s="29"/>
      <c r="AD12" s="29"/>
      <c r="AE12" s="29"/>
      <c r="AF12" s="29"/>
      <c r="AG12" s="29"/>
      <c r="AH12" s="10" t="s">
        <v>52</v>
      </c>
      <c r="AI12" s="10"/>
      <c r="AJ12" s="10"/>
      <c r="AK12" s="10"/>
    </row>
    <row r="13" hidden="1">
      <c r="A13" s="10">
        <v>12.0</v>
      </c>
      <c r="B13" s="11">
        <v>44859.0</v>
      </c>
      <c r="C13" s="12">
        <v>0.0</v>
      </c>
      <c r="D13" s="12">
        <f t="shared" si="1"/>
        <v>0</v>
      </c>
      <c r="E13" s="12" t="s">
        <v>37</v>
      </c>
      <c r="F13" s="13"/>
      <c r="G13" s="14"/>
      <c r="H13" s="15"/>
      <c r="I13" s="16">
        <v>1.0</v>
      </c>
      <c r="J13" s="17"/>
      <c r="K13" s="18">
        <v>44902.0</v>
      </c>
      <c r="L13" s="19" t="s">
        <v>53</v>
      </c>
      <c r="M13" s="25" t="s">
        <v>126</v>
      </c>
      <c r="N13" s="12" t="s">
        <v>127</v>
      </c>
      <c r="O13" s="12" t="s">
        <v>128</v>
      </c>
      <c r="P13" s="12">
        <v>107606.0</v>
      </c>
      <c r="Q13" s="12" t="s">
        <v>129</v>
      </c>
      <c r="R13" s="12" t="s">
        <v>130</v>
      </c>
      <c r="S13" s="13"/>
      <c r="T13" s="12"/>
      <c r="U13" s="12" t="s">
        <v>131</v>
      </c>
      <c r="V13" s="12"/>
      <c r="W13" s="12" t="s">
        <v>132</v>
      </c>
      <c r="X13" s="12" t="s">
        <v>47</v>
      </c>
      <c r="Y13" s="12" t="s">
        <v>48</v>
      </c>
      <c r="Z13" s="12" t="s">
        <v>61</v>
      </c>
      <c r="AA13" s="12" t="s">
        <v>62</v>
      </c>
      <c r="AB13" s="12" t="s">
        <v>114</v>
      </c>
      <c r="AC13" s="13"/>
      <c r="AD13" s="13"/>
      <c r="AE13" s="13"/>
      <c r="AF13" s="13"/>
      <c r="AG13" s="13"/>
      <c r="AH13" s="10" t="s">
        <v>52</v>
      </c>
      <c r="AI13" s="10"/>
      <c r="AJ13" s="10"/>
      <c r="AK13" s="10"/>
    </row>
    <row r="14" hidden="1">
      <c r="A14" s="10">
        <v>13.0</v>
      </c>
      <c r="B14" s="11">
        <v>44877.0</v>
      </c>
      <c r="C14" s="12">
        <v>0.0</v>
      </c>
      <c r="D14" s="12">
        <f t="shared" si="1"/>
        <v>0</v>
      </c>
      <c r="E14" s="12" t="s">
        <v>37</v>
      </c>
      <c r="F14" s="25"/>
      <c r="G14" s="26"/>
      <c r="H14" s="21"/>
      <c r="I14" s="27">
        <v>4.0</v>
      </c>
      <c r="J14" s="28"/>
      <c r="K14" s="22">
        <v>44902.0</v>
      </c>
      <c r="L14" s="23" t="s">
        <v>78</v>
      </c>
      <c r="M14" s="25" t="s">
        <v>133</v>
      </c>
      <c r="N14" s="25" t="s">
        <v>134</v>
      </c>
      <c r="O14" s="25" t="s">
        <v>66</v>
      </c>
      <c r="P14" s="25">
        <v>270660.0</v>
      </c>
      <c r="Q14" s="12" t="s">
        <v>80</v>
      </c>
      <c r="R14" s="12" t="s">
        <v>81</v>
      </c>
      <c r="S14" s="25"/>
      <c r="T14" s="25"/>
      <c r="U14" s="25" t="s">
        <v>135</v>
      </c>
      <c r="V14" s="25" t="s">
        <v>136</v>
      </c>
      <c r="W14" s="25" t="s">
        <v>137</v>
      </c>
      <c r="X14" s="12" t="s">
        <v>47</v>
      </c>
      <c r="Y14" s="12" t="s">
        <v>48</v>
      </c>
      <c r="Z14" s="25" t="s">
        <v>49</v>
      </c>
      <c r="AA14" s="25" t="s">
        <v>62</v>
      </c>
      <c r="AB14" s="25" t="s">
        <v>138</v>
      </c>
      <c r="AC14" s="25"/>
      <c r="AD14" s="25"/>
      <c r="AE14" s="25"/>
      <c r="AF14" s="25" t="s">
        <v>139</v>
      </c>
      <c r="AG14" s="29"/>
      <c r="AH14" s="10" t="s">
        <v>52</v>
      </c>
      <c r="AI14" s="10"/>
      <c r="AJ14" s="10"/>
      <c r="AK14" s="10"/>
    </row>
    <row r="15" hidden="1">
      <c r="A15" s="10">
        <v>14.0</v>
      </c>
      <c r="B15" s="31">
        <v>44884.0</v>
      </c>
      <c r="C15" s="25">
        <v>0.0</v>
      </c>
      <c r="D15" s="12">
        <f t="shared" si="1"/>
        <v>0</v>
      </c>
      <c r="E15" s="12" t="s">
        <v>37</v>
      </c>
      <c r="F15" s="25"/>
      <c r="G15" s="26"/>
      <c r="H15" s="21"/>
      <c r="I15" s="27">
        <v>4.0</v>
      </c>
      <c r="J15" s="28"/>
      <c r="K15" s="22">
        <v>44905.0</v>
      </c>
      <c r="L15" s="23" t="s">
        <v>140</v>
      </c>
      <c r="M15" s="12" t="s">
        <v>141</v>
      </c>
      <c r="N15" s="25">
        <v>13115.0</v>
      </c>
      <c r="O15" s="25" t="s">
        <v>66</v>
      </c>
      <c r="P15" s="25">
        <v>275398.0</v>
      </c>
      <c r="Q15" s="12" t="s">
        <v>80</v>
      </c>
      <c r="R15" s="12" t="s">
        <v>81</v>
      </c>
      <c r="S15" s="25"/>
      <c r="T15" s="25"/>
      <c r="U15" s="25" t="s">
        <v>142</v>
      </c>
      <c r="V15" s="29"/>
      <c r="W15" s="25" t="s">
        <v>143</v>
      </c>
      <c r="X15" s="25" t="s">
        <v>47</v>
      </c>
      <c r="Y15" s="25" t="s">
        <v>48</v>
      </c>
      <c r="Z15" s="25" t="s">
        <v>49</v>
      </c>
      <c r="AA15" s="25" t="s">
        <v>62</v>
      </c>
      <c r="AB15" s="12" t="s">
        <v>51</v>
      </c>
      <c r="AC15" s="25"/>
      <c r="AD15" s="25"/>
      <c r="AE15" s="25"/>
      <c r="AF15" s="25" t="s">
        <v>144</v>
      </c>
      <c r="AG15" s="29"/>
      <c r="AH15" s="10" t="s">
        <v>52</v>
      </c>
      <c r="AI15" s="10"/>
      <c r="AJ15" s="10"/>
      <c r="AK15" s="10"/>
    </row>
    <row r="16" hidden="1">
      <c r="A16" s="10">
        <v>15.0</v>
      </c>
      <c r="B16" s="11">
        <v>44855.0</v>
      </c>
      <c r="C16" s="12">
        <v>0.0</v>
      </c>
      <c r="D16" s="12">
        <f t="shared" si="1"/>
        <v>0</v>
      </c>
      <c r="E16" s="12" t="s">
        <v>37</v>
      </c>
      <c r="F16" s="29"/>
      <c r="G16" s="30"/>
      <c r="H16" s="21"/>
      <c r="I16" s="27">
        <v>3.0</v>
      </c>
      <c r="J16" s="28"/>
      <c r="K16" s="22">
        <v>44907.0</v>
      </c>
      <c r="L16" s="23" t="s">
        <v>145</v>
      </c>
      <c r="M16" s="25" t="s">
        <v>146</v>
      </c>
      <c r="N16" s="25" t="s">
        <v>147</v>
      </c>
      <c r="O16" s="25" t="s">
        <v>66</v>
      </c>
      <c r="P16" s="25">
        <v>108369.0</v>
      </c>
      <c r="Q16" s="25" t="s">
        <v>148</v>
      </c>
      <c r="R16" s="25" t="s">
        <v>149</v>
      </c>
      <c r="S16" s="29"/>
      <c r="T16" s="25"/>
      <c r="U16" s="25" t="s">
        <v>150</v>
      </c>
      <c r="V16" s="29"/>
      <c r="W16" s="25" t="s">
        <v>151</v>
      </c>
      <c r="X16" s="12" t="s">
        <v>47</v>
      </c>
      <c r="Y16" s="25" t="s">
        <v>48</v>
      </c>
      <c r="Z16" s="25" t="s">
        <v>92</v>
      </c>
      <c r="AA16" s="25" t="s">
        <v>62</v>
      </c>
      <c r="AB16" s="25" t="s">
        <v>152</v>
      </c>
      <c r="AC16" s="29"/>
      <c r="AD16" s="29"/>
      <c r="AE16" s="29"/>
      <c r="AF16" s="29"/>
      <c r="AG16" s="29"/>
      <c r="AH16" s="10" t="s">
        <v>52</v>
      </c>
      <c r="AI16" s="10"/>
      <c r="AJ16" s="10"/>
      <c r="AK16" s="10"/>
    </row>
    <row r="17" hidden="1">
      <c r="A17" s="10">
        <v>16.0</v>
      </c>
      <c r="B17" s="11">
        <v>44865.0</v>
      </c>
      <c r="C17" s="12">
        <v>0.0</v>
      </c>
      <c r="D17" s="12">
        <f t="shared" si="1"/>
        <v>0</v>
      </c>
      <c r="E17" s="12" t="s">
        <v>37</v>
      </c>
      <c r="F17" s="13"/>
      <c r="G17" s="14"/>
      <c r="H17" s="15"/>
      <c r="I17" s="16">
        <v>1.0</v>
      </c>
      <c r="J17" s="17"/>
      <c r="K17" s="18">
        <v>44907.0</v>
      </c>
      <c r="L17" s="19" t="s">
        <v>38</v>
      </c>
      <c r="M17" s="25" t="s">
        <v>153</v>
      </c>
      <c r="N17" s="12" t="s">
        <v>154</v>
      </c>
      <c r="O17" s="12" t="s">
        <v>66</v>
      </c>
      <c r="P17" s="12">
        <v>108586.0</v>
      </c>
      <c r="Q17" s="12" t="s">
        <v>42</v>
      </c>
      <c r="R17" s="12" t="s">
        <v>43</v>
      </c>
      <c r="S17" s="13"/>
      <c r="T17" s="12"/>
      <c r="U17" s="12" t="s">
        <v>155</v>
      </c>
      <c r="V17" s="12" t="s">
        <v>156</v>
      </c>
      <c r="W17" s="13"/>
      <c r="X17" s="12" t="s">
        <v>47</v>
      </c>
      <c r="Y17" s="12" t="s">
        <v>120</v>
      </c>
      <c r="Z17" s="12" t="s">
        <v>49</v>
      </c>
      <c r="AA17" s="12" t="s">
        <v>72</v>
      </c>
      <c r="AB17" s="12" t="s">
        <v>114</v>
      </c>
      <c r="AC17" s="13"/>
      <c r="AD17" s="13"/>
      <c r="AE17" s="13"/>
      <c r="AF17" s="13"/>
      <c r="AG17" s="13"/>
      <c r="AH17" s="10" t="s">
        <v>52</v>
      </c>
      <c r="AI17" s="10"/>
      <c r="AJ17" s="10"/>
      <c r="AK17" s="10"/>
    </row>
    <row r="18" hidden="1">
      <c r="A18" s="10">
        <v>17.0</v>
      </c>
      <c r="B18" s="31">
        <v>44839.0</v>
      </c>
      <c r="C18" s="25">
        <v>0.0</v>
      </c>
      <c r="D18" s="12">
        <f t="shared" si="1"/>
        <v>0</v>
      </c>
      <c r="E18" s="12" t="s">
        <v>37</v>
      </c>
      <c r="F18" s="25"/>
      <c r="G18" s="26"/>
      <c r="H18" s="21"/>
      <c r="I18" s="27">
        <v>2.0</v>
      </c>
      <c r="J18" s="28"/>
      <c r="K18" s="22">
        <v>44909.0</v>
      </c>
      <c r="L18" s="23" t="s">
        <v>157</v>
      </c>
      <c r="M18" s="25" t="s">
        <v>158</v>
      </c>
      <c r="N18" s="25" t="s">
        <v>159</v>
      </c>
      <c r="O18" s="25" t="s">
        <v>66</v>
      </c>
      <c r="P18" s="25">
        <v>109730.0</v>
      </c>
      <c r="Q18" s="25" t="s">
        <v>160</v>
      </c>
      <c r="R18" s="25" t="s">
        <v>161</v>
      </c>
      <c r="S18" s="25"/>
      <c r="T18" s="25"/>
      <c r="U18" s="25" t="s">
        <v>162</v>
      </c>
      <c r="V18" s="29"/>
      <c r="W18" s="25" t="s">
        <v>163</v>
      </c>
      <c r="X18" s="25" t="s">
        <v>47</v>
      </c>
      <c r="Y18" s="25" t="s">
        <v>48</v>
      </c>
      <c r="Z18" s="25" t="s">
        <v>92</v>
      </c>
      <c r="AA18" s="25" t="s">
        <v>164</v>
      </c>
      <c r="AB18" s="25" t="s">
        <v>165</v>
      </c>
      <c r="AC18" s="25"/>
      <c r="AD18" s="25"/>
      <c r="AE18" s="25"/>
      <c r="AF18" s="25" t="s">
        <v>166</v>
      </c>
      <c r="AG18" s="25" t="s">
        <v>167</v>
      </c>
      <c r="AH18" s="10" t="s">
        <v>52</v>
      </c>
      <c r="AI18" s="10"/>
      <c r="AJ18" s="10"/>
      <c r="AK18" s="10"/>
    </row>
    <row r="19" hidden="1">
      <c r="A19" s="10">
        <v>18.0</v>
      </c>
      <c r="B19" s="11">
        <v>44902.0</v>
      </c>
      <c r="C19" s="25">
        <v>0.0</v>
      </c>
      <c r="D19" s="12">
        <f t="shared" si="1"/>
        <v>0</v>
      </c>
      <c r="E19" s="12" t="s">
        <v>37</v>
      </c>
      <c r="F19" s="25"/>
      <c r="G19" s="26"/>
      <c r="H19" s="21"/>
      <c r="I19" s="27">
        <v>1.0</v>
      </c>
      <c r="J19" s="28"/>
      <c r="K19" s="22">
        <v>44909.0</v>
      </c>
      <c r="L19" s="23" t="s">
        <v>168</v>
      </c>
      <c r="M19" s="25" t="s">
        <v>169</v>
      </c>
      <c r="N19" s="25">
        <v>523091.0</v>
      </c>
      <c r="O19" s="25" t="s">
        <v>170</v>
      </c>
      <c r="P19" s="25">
        <v>2182689.0</v>
      </c>
      <c r="Q19" s="25" t="s">
        <v>171</v>
      </c>
      <c r="R19" s="25" t="s">
        <v>172</v>
      </c>
      <c r="S19" s="25"/>
      <c r="T19" s="29"/>
      <c r="U19" s="29"/>
      <c r="V19" s="29"/>
      <c r="W19" s="25" t="s">
        <v>173</v>
      </c>
      <c r="X19" s="25" t="s">
        <v>90</v>
      </c>
      <c r="Y19" s="25" t="s">
        <v>91</v>
      </c>
      <c r="Z19" s="25" t="s">
        <v>102</v>
      </c>
      <c r="AA19" s="25" t="s">
        <v>91</v>
      </c>
      <c r="AB19" s="25" t="s">
        <v>138</v>
      </c>
      <c r="AC19" s="25"/>
      <c r="AD19" s="25"/>
      <c r="AE19" s="25"/>
      <c r="AF19" s="25" t="s">
        <v>174</v>
      </c>
      <c r="AG19" s="25" t="s">
        <v>175</v>
      </c>
      <c r="AH19" s="10" t="s">
        <v>52</v>
      </c>
      <c r="AI19" s="10"/>
      <c r="AJ19" s="10"/>
      <c r="AK19" s="10"/>
    </row>
    <row r="20" hidden="1">
      <c r="A20" s="10">
        <v>19.0</v>
      </c>
      <c r="B20" s="31">
        <v>44881.0</v>
      </c>
      <c r="C20" s="12">
        <v>0.0</v>
      </c>
      <c r="D20" s="12">
        <f t="shared" si="1"/>
        <v>0</v>
      </c>
      <c r="E20" s="12" t="s">
        <v>37</v>
      </c>
      <c r="F20" s="25"/>
      <c r="G20" s="26"/>
      <c r="H20" s="21"/>
      <c r="I20" s="27">
        <v>2.0</v>
      </c>
      <c r="J20" s="28"/>
      <c r="K20" s="22">
        <v>44910.0</v>
      </c>
      <c r="L20" s="19" t="s">
        <v>64</v>
      </c>
      <c r="M20" s="25" t="s">
        <v>176</v>
      </c>
      <c r="N20" s="25" t="s">
        <v>177</v>
      </c>
      <c r="O20" s="25">
        <v>4072022.0</v>
      </c>
      <c r="P20" s="25">
        <v>214941.0</v>
      </c>
      <c r="Q20" s="12" t="s">
        <v>67</v>
      </c>
      <c r="R20" s="25" t="s">
        <v>178</v>
      </c>
      <c r="S20" s="25"/>
      <c r="T20" s="25"/>
      <c r="U20" s="25" t="s">
        <v>179</v>
      </c>
      <c r="V20" s="29"/>
      <c r="W20" s="25">
        <v>8.02721382E9</v>
      </c>
      <c r="X20" s="12" t="s">
        <v>47</v>
      </c>
      <c r="Y20" s="25" t="s">
        <v>48</v>
      </c>
      <c r="Z20" s="25" t="s">
        <v>49</v>
      </c>
      <c r="AA20" s="25" t="s">
        <v>62</v>
      </c>
      <c r="AB20" s="25" t="s">
        <v>114</v>
      </c>
      <c r="AC20" s="25"/>
      <c r="AD20" s="25"/>
      <c r="AE20" s="25"/>
      <c r="AF20" s="25"/>
      <c r="AG20" s="29"/>
      <c r="AH20" s="10" t="s">
        <v>52</v>
      </c>
      <c r="AI20" s="10"/>
      <c r="AJ20" s="10"/>
      <c r="AK20" s="10"/>
    </row>
    <row r="21" hidden="1">
      <c r="A21" s="10">
        <v>20.0</v>
      </c>
      <c r="B21" s="11">
        <v>44874.0</v>
      </c>
      <c r="C21" s="12">
        <v>0.0</v>
      </c>
      <c r="D21" s="12">
        <f t="shared" si="1"/>
        <v>0</v>
      </c>
      <c r="E21" s="12" t="s">
        <v>37</v>
      </c>
      <c r="F21" s="29"/>
      <c r="G21" s="30"/>
      <c r="H21" s="21"/>
      <c r="I21" s="27">
        <v>3.0</v>
      </c>
      <c r="J21" s="28"/>
      <c r="K21" s="22">
        <v>44914.0</v>
      </c>
      <c r="L21" s="23" t="s">
        <v>180</v>
      </c>
      <c r="M21" s="25" t="s">
        <v>181</v>
      </c>
      <c r="N21" s="25" t="s">
        <v>182</v>
      </c>
      <c r="O21" s="25" t="s">
        <v>66</v>
      </c>
      <c r="P21" s="25">
        <v>111643.0</v>
      </c>
      <c r="Q21" s="12" t="s">
        <v>80</v>
      </c>
      <c r="R21" s="25" t="s">
        <v>183</v>
      </c>
      <c r="S21" s="29"/>
      <c r="T21" s="25"/>
      <c r="U21" s="25" t="s">
        <v>184</v>
      </c>
      <c r="V21" s="25"/>
      <c r="W21" s="25" t="s">
        <v>185</v>
      </c>
      <c r="X21" s="25" t="s">
        <v>47</v>
      </c>
      <c r="Y21" s="25" t="s">
        <v>120</v>
      </c>
      <c r="Z21" s="25" t="s">
        <v>102</v>
      </c>
      <c r="AA21" s="25" t="s">
        <v>72</v>
      </c>
      <c r="AB21" s="25" t="s">
        <v>51</v>
      </c>
      <c r="AC21" s="29"/>
      <c r="AD21" s="29"/>
      <c r="AE21" s="29"/>
      <c r="AF21" s="29"/>
      <c r="AG21" s="29"/>
      <c r="AH21" s="10" t="s">
        <v>52</v>
      </c>
      <c r="AI21" s="10"/>
      <c r="AJ21" s="10"/>
      <c r="AK21" s="10"/>
    </row>
    <row r="22" hidden="1">
      <c r="A22" s="10">
        <v>21.0</v>
      </c>
      <c r="B22" s="31">
        <v>44882.0</v>
      </c>
      <c r="C22" s="12">
        <v>0.0</v>
      </c>
      <c r="D22" s="12">
        <f t="shared" si="1"/>
        <v>0</v>
      </c>
      <c r="E22" s="12" t="s">
        <v>37</v>
      </c>
      <c r="F22" s="25"/>
      <c r="G22" s="26"/>
      <c r="H22" s="21"/>
      <c r="I22" s="27">
        <v>1.0</v>
      </c>
      <c r="J22" s="28"/>
      <c r="K22" s="22">
        <v>44917.0</v>
      </c>
      <c r="L22" s="19" t="s">
        <v>64</v>
      </c>
      <c r="M22" s="25" t="s">
        <v>186</v>
      </c>
      <c r="N22" s="25" t="s">
        <v>187</v>
      </c>
      <c r="O22" s="25" t="s">
        <v>188</v>
      </c>
      <c r="P22" s="25">
        <v>113205.0</v>
      </c>
      <c r="Q22" s="12" t="s">
        <v>67</v>
      </c>
      <c r="R22" s="25" t="s">
        <v>189</v>
      </c>
      <c r="S22" s="25"/>
      <c r="T22" s="25"/>
      <c r="U22" s="25" t="s">
        <v>190</v>
      </c>
      <c r="V22" s="29"/>
      <c r="W22" s="25" t="s">
        <v>191</v>
      </c>
      <c r="X22" s="25" t="s">
        <v>47</v>
      </c>
      <c r="Y22" s="25" t="s">
        <v>48</v>
      </c>
      <c r="Z22" s="25" t="s">
        <v>49</v>
      </c>
      <c r="AA22" s="25" t="s">
        <v>62</v>
      </c>
      <c r="AB22" s="12" t="s">
        <v>51</v>
      </c>
      <c r="AC22" s="25"/>
      <c r="AD22" s="25"/>
      <c r="AE22" s="25"/>
      <c r="AF22" s="25" t="s">
        <v>192</v>
      </c>
      <c r="AG22" s="29"/>
      <c r="AH22" s="10" t="s">
        <v>52</v>
      </c>
      <c r="AI22" s="10"/>
      <c r="AJ22" s="10"/>
      <c r="AK22" s="10"/>
    </row>
    <row r="23" hidden="1">
      <c r="A23" s="10">
        <v>22.0</v>
      </c>
      <c r="B23" s="11">
        <v>44859.0</v>
      </c>
      <c r="C23" s="12">
        <v>0.0</v>
      </c>
      <c r="D23" s="12">
        <f t="shared" si="1"/>
        <v>0</v>
      </c>
      <c r="E23" s="12" t="s">
        <v>37</v>
      </c>
      <c r="F23" s="12"/>
      <c r="G23" s="20"/>
      <c r="H23" s="15"/>
      <c r="I23" s="16">
        <v>1.0</v>
      </c>
      <c r="J23" s="17"/>
      <c r="K23" s="18">
        <v>44919.0</v>
      </c>
      <c r="L23" s="19" t="s">
        <v>38</v>
      </c>
      <c r="M23" s="12" t="s">
        <v>193</v>
      </c>
      <c r="N23" s="12" t="s">
        <v>194</v>
      </c>
      <c r="O23" s="12" t="s">
        <v>66</v>
      </c>
      <c r="P23" s="12">
        <v>113208.0</v>
      </c>
      <c r="Q23" s="12" t="s">
        <v>195</v>
      </c>
      <c r="R23" s="12" t="s">
        <v>196</v>
      </c>
      <c r="S23" s="32">
        <v>4450.0</v>
      </c>
      <c r="T23" s="12"/>
      <c r="U23" s="12" t="s">
        <v>197</v>
      </c>
      <c r="V23" s="12" t="s">
        <v>198</v>
      </c>
      <c r="W23" s="12" t="s">
        <v>199</v>
      </c>
      <c r="X23" s="12" t="s">
        <v>47</v>
      </c>
      <c r="Y23" s="12" t="s">
        <v>48</v>
      </c>
      <c r="Z23" s="12" t="s">
        <v>102</v>
      </c>
      <c r="AA23" s="12" t="s">
        <v>62</v>
      </c>
      <c r="AB23" s="12" t="s">
        <v>73</v>
      </c>
      <c r="AC23" s="12"/>
      <c r="AD23" s="12"/>
      <c r="AE23" s="12"/>
      <c r="AF23" s="12" t="s">
        <v>200</v>
      </c>
      <c r="AG23" s="13"/>
      <c r="AH23" s="10" t="s">
        <v>52</v>
      </c>
      <c r="AI23" s="10"/>
      <c r="AJ23" s="10"/>
      <c r="AK23" s="10"/>
    </row>
    <row r="24" hidden="1">
      <c r="A24" s="10">
        <v>23.0</v>
      </c>
      <c r="B24" s="31">
        <v>44848.0</v>
      </c>
      <c r="C24" s="25">
        <v>0.0</v>
      </c>
      <c r="D24" s="12">
        <f t="shared" si="1"/>
        <v>0</v>
      </c>
      <c r="E24" s="12" t="s">
        <v>37</v>
      </c>
      <c r="F24" s="25"/>
      <c r="G24" s="26"/>
      <c r="H24" s="21"/>
      <c r="I24" s="27">
        <v>1.0</v>
      </c>
      <c r="J24" s="28"/>
      <c r="K24" s="22">
        <v>44920.0</v>
      </c>
      <c r="L24" s="23" t="s">
        <v>157</v>
      </c>
      <c r="M24" s="25" t="s">
        <v>201</v>
      </c>
      <c r="N24" s="25" t="s">
        <v>202</v>
      </c>
      <c r="O24" s="25" t="s">
        <v>66</v>
      </c>
      <c r="P24" s="25">
        <v>113792.0</v>
      </c>
      <c r="Q24" s="25" t="s">
        <v>160</v>
      </c>
      <c r="R24" s="25" t="s">
        <v>161</v>
      </c>
      <c r="S24" s="25"/>
      <c r="T24" s="25"/>
      <c r="U24" s="25" t="s">
        <v>203</v>
      </c>
      <c r="V24" s="29"/>
      <c r="W24" s="25">
        <v>2.21603109E8</v>
      </c>
      <c r="X24" s="25" t="s">
        <v>47</v>
      </c>
      <c r="Y24" s="25" t="s">
        <v>48</v>
      </c>
      <c r="Z24" s="25" t="s">
        <v>92</v>
      </c>
      <c r="AA24" s="25" t="s">
        <v>164</v>
      </c>
      <c r="AB24" s="25" t="s">
        <v>165</v>
      </c>
      <c r="AC24" s="25"/>
      <c r="AD24" s="25"/>
      <c r="AE24" s="25"/>
      <c r="AF24" s="25" t="s">
        <v>204</v>
      </c>
      <c r="AG24" s="29"/>
      <c r="AH24" s="10" t="s">
        <v>52</v>
      </c>
      <c r="AI24" s="10"/>
      <c r="AJ24" s="10"/>
      <c r="AK24" s="10"/>
    </row>
    <row r="25" hidden="1">
      <c r="A25" s="10">
        <v>24.0</v>
      </c>
      <c r="B25" s="31">
        <v>44855.0</v>
      </c>
      <c r="C25" s="25">
        <v>0.0</v>
      </c>
      <c r="D25" s="12">
        <f t="shared" si="1"/>
        <v>0</v>
      </c>
      <c r="E25" s="12" t="s">
        <v>37</v>
      </c>
      <c r="F25" s="25"/>
      <c r="G25" s="26"/>
      <c r="H25" s="21"/>
      <c r="I25" s="27">
        <v>1.0</v>
      </c>
      <c r="J25" s="28"/>
      <c r="K25" s="22">
        <v>44920.0</v>
      </c>
      <c r="L25" s="23" t="s">
        <v>157</v>
      </c>
      <c r="M25" s="25" t="s">
        <v>121</v>
      </c>
      <c r="N25" s="25" t="s">
        <v>205</v>
      </c>
      <c r="O25" s="25" t="s">
        <v>66</v>
      </c>
      <c r="P25" s="25">
        <v>113790.0</v>
      </c>
      <c r="Q25" s="25" t="s">
        <v>160</v>
      </c>
      <c r="R25" s="25" t="s">
        <v>161</v>
      </c>
      <c r="S25" s="25"/>
      <c r="T25" s="25"/>
      <c r="U25" s="25" t="s">
        <v>206</v>
      </c>
      <c r="V25" s="29"/>
      <c r="W25" s="25">
        <v>2.22055178E8</v>
      </c>
      <c r="X25" s="25" t="s">
        <v>47</v>
      </c>
      <c r="Y25" s="25" t="s">
        <v>48</v>
      </c>
      <c r="Z25" s="25" t="s">
        <v>92</v>
      </c>
      <c r="AA25" s="25" t="s">
        <v>164</v>
      </c>
      <c r="AB25" s="25" t="s">
        <v>165</v>
      </c>
      <c r="AC25" s="25"/>
      <c r="AD25" s="25"/>
      <c r="AE25" s="25"/>
      <c r="AF25" s="25" t="s">
        <v>207</v>
      </c>
      <c r="AG25" s="29"/>
      <c r="AH25" s="10" t="s">
        <v>52</v>
      </c>
      <c r="AI25" s="10"/>
      <c r="AJ25" s="10"/>
      <c r="AK25" s="10"/>
    </row>
    <row r="26" hidden="1">
      <c r="A26" s="10">
        <v>25.0</v>
      </c>
      <c r="B26" s="31">
        <v>44887.0</v>
      </c>
      <c r="C26" s="12">
        <v>0.0</v>
      </c>
      <c r="D26" s="12">
        <f t="shared" si="1"/>
        <v>0</v>
      </c>
      <c r="E26" s="12" t="s">
        <v>37</v>
      </c>
      <c r="F26" s="25"/>
      <c r="G26" s="26"/>
      <c r="H26" s="21"/>
      <c r="I26" s="27">
        <v>1.0</v>
      </c>
      <c r="J26" s="28"/>
      <c r="K26" s="22">
        <v>44920.0</v>
      </c>
      <c r="L26" s="19" t="s">
        <v>53</v>
      </c>
      <c r="M26" s="25" t="s">
        <v>201</v>
      </c>
      <c r="N26" s="25" t="s">
        <v>208</v>
      </c>
      <c r="O26" s="25" t="s">
        <v>66</v>
      </c>
      <c r="P26" s="25">
        <v>441201.0</v>
      </c>
      <c r="Q26" s="12" t="s">
        <v>129</v>
      </c>
      <c r="R26" s="12" t="s">
        <v>130</v>
      </c>
      <c r="S26" s="25"/>
      <c r="T26" s="25"/>
      <c r="U26" s="25" t="s">
        <v>209</v>
      </c>
      <c r="V26" s="29"/>
      <c r="W26" s="25" t="s">
        <v>210</v>
      </c>
      <c r="X26" s="25" t="s">
        <v>47</v>
      </c>
      <c r="Y26" s="25" t="s">
        <v>48</v>
      </c>
      <c r="Z26" s="25" t="s">
        <v>61</v>
      </c>
      <c r="AA26" s="25" t="s">
        <v>62</v>
      </c>
      <c r="AB26" s="25" t="s">
        <v>211</v>
      </c>
      <c r="AC26" s="25"/>
      <c r="AD26" s="25"/>
      <c r="AE26" s="25"/>
      <c r="AF26" s="25" t="s">
        <v>212</v>
      </c>
      <c r="AG26" s="29"/>
      <c r="AH26" s="10" t="s">
        <v>52</v>
      </c>
      <c r="AI26" s="10"/>
      <c r="AJ26" s="10"/>
      <c r="AK26" s="10"/>
    </row>
    <row r="27" hidden="1">
      <c r="A27" s="10">
        <v>26.0</v>
      </c>
      <c r="B27" s="31">
        <v>44872.0</v>
      </c>
      <c r="C27" s="25">
        <v>0.0</v>
      </c>
      <c r="D27" s="12">
        <f t="shared" si="1"/>
        <v>0</v>
      </c>
      <c r="E27" s="12" t="s">
        <v>37</v>
      </c>
      <c r="F27" s="25"/>
      <c r="G27" s="26"/>
      <c r="H27" s="21"/>
      <c r="I27" s="27">
        <v>1.0</v>
      </c>
      <c r="J27" s="28"/>
      <c r="K27" s="22">
        <v>44921.0</v>
      </c>
      <c r="L27" s="23" t="s">
        <v>157</v>
      </c>
      <c r="M27" s="33" t="s">
        <v>213</v>
      </c>
      <c r="N27" s="25" t="s">
        <v>214</v>
      </c>
      <c r="O27" s="25" t="s">
        <v>66</v>
      </c>
      <c r="P27" s="25">
        <v>113790.0</v>
      </c>
      <c r="Q27" s="25" t="s">
        <v>160</v>
      </c>
      <c r="R27" s="25" t="s">
        <v>161</v>
      </c>
      <c r="S27" s="25"/>
      <c r="T27" s="25"/>
      <c r="U27" s="25" t="s">
        <v>215</v>
      </c>
      <c r="V27" s="29"/>
      <c r="W27" s="25">
        <v>2.22055178E8</v>
      </c>
      <c r="X27" s="25" t="s">
        <v>47</v>
      </c>
      <c r="Y27" s="25" t="s">
        <v>48</v>
      </c>
      <c r="Z27" s="25" t="s">
        <v>92</v>
      </c>
      <c r="AA27" s="25" t="s">
        <v>164</v>
      </c>
      <c r="AB27" s="25" t="s">
        <v>165</v>
      </c>
      <c r="AC27" s="25"/>
      <c r="AD27" s="25"/>
      <c r="AE27" s="25"/>
      <c r="AF27" s="25" t="s">
        <v>207</v>
      </c>
      <c r="AG27" s="29"/>
      <c r="AH27" s="10" t="s">
        <v>52</v>
      </c>
      <c r="AI27" s="10"/>
      <c r="AJ27" s="10"/>
      <c r="AK27" s="10"/>
    </row>
    <row r="28" hidden="1">
      <c r="A28" s="10">
        <v>27.0</v>
      </c>
      <c r="B28" s="31">
        <v>44884.0</v>
      </c>
      <c r="C28" s="25">
        <v>0.0</v>
      </c>
      <c r="D28" s="12">
        <f t="shared" si="1"/>
        <v>0</v>
      </c>
      <c r="E28" s="12" t="s">
        <v>37</v>
      </c>
      <c r="F28" s="29"/>
      <c r="G28" s="30"/>
      <c r="H28" s="21"/>
      <c r="I28" s="27">
        <v>1.0</v>
      </c>
      <c r="J28" s="28"/>
      <c r="K28" s="22">
        <v>44921.0</v>
      </c>
      <c r="L28" s="23" t="s">
        <v>86</v>
      </c>
      <c r="M28" s="25" t="s">
        <v>216</v>
      </c>
      <c r="N28" s="25">
        <v>201138.0</v>
      </c>
      <c r="O28" s="25">
        <v>82022.0</v>
      </c>
      <c r="P28" s="25">
        <v>112717.0</v>
      </c>
      <c r="Q28" s="12" t="s">
        <v>42</v>
      </c>
      <c r="R28" s="12" t="s">
        <v>105</v>
      </c>
      <c r="S28" s="29"/>
      <c r="T28" s="25"/>
      <c r="U28" s="25" t="s">
        <v>217</v>
      </c>
      <c r="V28" s="25" t="s">
        <v>218</v>
      </c>
      <c r="W28" s="25" t="s">
        <v>219</v>
      </c>
      <c r="X28" s="25" t="s">
        <v>47</v>
      </c>
      <c r="Y28" s="25" t="s">
        <v>120</v>
      </c>
      <c r="Z28" s="25" t="s">
        <v>49</v>
      </c>
      <c r="AA28" s="25" t="s">
        <v>164</v>
      </c>
      <c r="AB28" s="12" t="s">
        <v>51</v>
      </c>
      <c r="AC28" s="29"/>
      <c r="AD28" s="29"/>
      <c r="AE28" s="29"/>
      <c r="AF28" s="29"/>
      <c r="AG28" s="29"/>
      <c r="AH28" s="10" t="s">
        <v>52</v>
      </c>
      <c r="AI28" s="10"/>
      <c r="AJ28" s="10"/>
      <c r="AK28" s="10"/>
    </row>
    <row r="29" hidden="1">
      <c r="A29" s="10">
        <v>28.0</v>
      </c>
      <c r="B29" s="31">
        <v>44894.0</v>
      </c>
      <c r="C29" s="12">
        <v>0.0</v>
      </c>
      <c r="D29" s="12">
        <f t="shared" si="1"/>
        <v>0</v>
      </c>
      <c r="E29" s="12" t="s">
        <v>37</v>
      </c>
      <c r="F29" s="25"/>
      <c r="G29" s="26"/>
      <c r="H29" s="21"/>
      <c r="I29" s="27">
        <v>1.0</v>
      </c>
      <c r="J29" s="28"/>
      <c r="K29" s="22">
        <v>44924.0</v>
      </c>
      <c r="L29" s="23" t="s">
        <v>86</v>
      </c>
      <c r="M29" s="25" t="s">
        <v>220</v>
      </c>
      <c r="N29" s="25">
        <v>502256.0</v>
      </c>
      <c r="O29" s="25" t="s">
        <v>221</v>
      </c>
      <c r="P29" s="25">
        <v>114968.0</v>
      </c>
      <c r="Q29" s="12" t="s">
        <v>42</v>
      </c>
      <c r="R29" s="12" t="s">
        <v>105</v>
      </c>
      <c r="S29" s="25"/>
      <c r="T29" s="25"/>
      <c r="U29" s="25" t="s">
        <v>222</v>
      </c>
      <c r="V29" s="29"/>
      <c r="W29" s="25" t="s">
        <v>223</v>
      </c>
      <c r="X29" s="25" t="s">
        <v>47</v>
      </c>
      <c r="Y29" s="25" t="s">
        <v>48</v>
      </c>
      <c r="Z29" s="25" t="s">
        <v>92</v>
      </c>
      <c r="AA29" s="25" t="s">
        <v>62</v>
      </c>
      <c r="AB29" s="25" t="s">
        <v>165</v>
      </c>
      <c r="AC29" s="25"/>
      <c r="AD29" s="25"/>
      <c r="AE29" s="25"/>
      <c r="AF29" s="25" t="s">
        <v>224</v>
      </c>
      <c r="AG29" s="25" t="s">
        <v>167</v>
      </c>
      <c r="AH29" s="10" t="s">
        <v>52</v>
      </c>
      <c r="AI29" s="10"/>
      <c r="AJ29" s="10"/>
      <c r="AK29" s="10"/>
    </row>
    <row r="30" hidden="1">
      <c r="A30" s="10">
        <v>29.0</v>
      </c>
      <c r="B30" s="31">
        <v>44894.0</v>
      </c>
      <c r="C30" s="12">
        <v>0.0</v>
      </c>
      <c r="D30" s="12">
        <f t="shared" si="1"/>
        <v>0</v>
      </c>
      <c r="E30" s="12" t="s">
        <v>37</v>
      </c>
      <c r="F30" s="25"/>
      <c r="G30" s="26"/>
      <c r="H30" s="21"/>
      <c r="I30" s="27">
        <v>1.0</v>
      </c>
      <c r="J30" s="28"/>
      <c r="K30" s="22">
        <v>44926.0</v>
      </c>
      <c r="L30" s="23" t="s">
        <v>86</v>
      </c>
      <c r="M30" s="25" t="s">
        <v>225</v>
      </c>
      <c r="N30" s="25">
        <v>502255.0</v>
      </c>
      <c r="O30" s="25" t="s">
        <v>226</v>
      </c>
      <c r="P30" s="25">
        <v>114970.0</v>
      </c>
      <c r="Q30" s="12" t="s">
        <v>42</v>
      </c>
      <c r="R30" s="12" t="s">
        <v>105</v>
      </c>
      <c r="S30" s="25"/>
      <c r="T30" s="25"/>
      <c r="U30" s="25" t="s">
        <v>227</v>
      </c>
      <c r="V30" s="29"/>
      <c r="W30" s="25" t="s">
        <v>228</v>
      </c>
      <c r="X30" s="25" t="s">
        <v>47</v>
      </c>
      <c r="Y30" s="25" t="s">
        <v>48</v>
      </c>
      <c r="Z30" s="25" t="s">
        <v>92</v>
      </c>
      <c r="AA30" s="25" t="s">
        <v>62</v>
      </c>
      <c r="AB30" s="25" t="s">
        <v>165</v>
      </c>
      <c r="AC30" s="25"/>
      <c r="AD30" s="25"/>
      <c r="AE30" s="25"/>
      <c r="AF30" s="25" t="s">
        <v>224</v>
      </c>
      <c r="AG30" s="25" t="s">
        <v>167</v>
      </c>
      <c r="AH30" s="10" t="s">
        <v>52</v>
      </c>
      <c r="AI30" s="10"/>
      <c r="AJ30" s="10"/>
      <c r="AK30" s="10"/>
    </row>
    <row r="31" hidden="1">
      <c r="A31" s="10">
        <v>30.0</v>
      </c>
      <c r="B31" s="31">
        <v>44894.0</v>
      </c>
      <c r="C31" s="12">
        <v>0.0</v>
      </c>
      <c r="D31" s="12">
        <f t="shared" si="1"/>
        <v>0</v>
      </c>
      <c r="E31" s="12" t="s">
        <v>37</v>
      </c>
      <c r="F31" s="25"/>
      <c r="G31" s="26"/>
      <c r="H31" s="21"/>
      <c r="I31" s="27">
        <v>1.0</v>
      </c>
      <c r="J31" s="28"/>
      <c r="K31" s="22">
        <v>44926.0</v>
      </c>
      <c r="L31" s="23" t="s">
        <v>86</v>
      </c>
      <c r="M31" s="25" t="s">
        <v>229</v>
      </c>
      <c r="N31" s="25">
        <v>502253.0</v>
      </c>
      <c r="O31" s="25" t="s">
        <v>230</v>
      </c>
      <c r="P31" s="25">
        <v>114976.0</v>
      </c>
      <c r="Q31" s="12" t="s">
        <v>42</v>
      </c>
      <c r="R31" s="12" t="s">
        <v>105</v>
      </c>
      <c r="S31" s="25"/>
      <c r="T31" s="25"/>
      <c r="U31" s="25" t="s">
        <v>231</v>
      </c>
      <c r="V31" s="29"/>
      <c r="W31" s="25" t="s">
        <v>232</v>
      </c>
      <c r="X31" s="25" t="s">
        <v>47</v>
      </c>
      <c r="Y31" s="25" t="s">
        <v>48</v>
      </c>
      <c r="Z31" s="25" t="s">
        <v>92</v>
      </c>
      <c r="AA31" s="25" t="s">
        <v>62</v>
      </c>
      <c r="AB31" s="25" t="s">
        <v>165</v>
      </c>
      <c r="AC31" s="25"/>
      <c r="AD31" s="25"/>
      <c r="AE31" s="25"/>
      <c r="AF31" s="25" t="s">
        <v>224</v>
      </c>
      <c r="AG31" s="25" t="s">
        <v>167</v>
      </c>
      <c r="AH31" s="10" t="s">
        <v>52</v>
      </c>
      <c r="AI31" s="10"/>
      <c r="AJ31" s="10"/>
      <c r="AK31" s="10"/>
    </row>
    <row r="32" hidden="1">
      <c r="A32" s="10">
        <v>31.0</v>
      </c>
      <c r="B32" s="31">
        <v>44894.0</v>
      </c>
      <c r="C32" s="12">
        <v>0.0</v>
      </c>
      <c r="D32" s="12">
        <f t="shared" si="1"/>
        <v>0</v>
      </c>
      <c r="E32" s="12" t="s">
        <v>37</v>
      </c>
      <c r="F32" s="25"/>
      <c r="G32" s="26"/>
      <c r="H32" s="21"/>
      <c r="I32" s="27">
        <v>1.0</v>
      </c>
      <c r="J32" s="28"/>
      <c r="K32" s="22">
        <v>44928.0</v>
      </c>
      <c r="L32" s="23" t="s">
        <v>86</v>
      </c>
      <c r="M32" s="25" t="s">
        <v>233</v>
      </c>
      <c r="N32" s="25">
        <v>502257.0</v>
      </c>
      <c r="O32" s="25" t="s">
        <v>234</v>
      </c>
      <c r="P32" s="25">
        <v>114967.0</v>
      </c>
      <c r="Q32" s="12" t="s">
        <v>42</v>
      </c>
      <c r="R32" s="12" t="s">
        <v>105</v>
      </c>
      <c r="S32" s="25"/>
      <c r="T32" s="25"/>
      <c r="U32" s="25" t="s">
        <v>235</v>
      </c>
      <c r="V32" s="29"/>
      <c r="W32" s="25" t="s">
        <v>236</v>
      </c>
      <c r="X32" s="25" t="s">
        <v>47</v>
      </c>
      <c r="Y32" s="25" t="s">
        <v>48</v>
      </c>
      <c r="Z32" s="25" t="s">
        <v>92</v>
      </c>
      <c r="AA32" s="25" t="s">
        <v>62</v>
      </c>
      <c r="AB32" s="25" t="s">
        <v>165</v>
      </c>
      <c r="AC32" s="25"/>
      <c r="AD32" s="25"/>
      <c r="AE32" s="25"/>
      <c r="AF32" s="25" t="s">
        <v>224</v>
      </c>
      <c r="AG32" s="25" t="s">
        <v>167</v>
      </c>
      <c r="AH32" s="10" t="s">
        <v>52</v>
      </c>
      <c r="AI32" s="10"/>
      <c r="AJ32" s="10"/>
      <c r="AK32" s="10"/>
    </row>
    <row r="33" hidden="1">
      <c r="A33" s="10">
        <v>32.0</v>
      </c>
      <c r="B33" s="31">
        <v>44894.0</v>
      </c>
      <c r="C33" s="12">
        <v>0.0</v>
      </c>
      <c r="D33" s="12">
        <f t="shared" si="1"/>
        <v>0</v>
      </c>
      <c r="E33" s="12" t="s">
        <v>37</v>
      </c>
      <c r="F33" s="25"/>
      <c r="G33" s="26"/>
      <c r="H33" s="21"/>
      <c r="I33" s="27">
        <v>1.0</v>
      </c>
      <c r="J33" s="28"/>
      <c r="K33" s="22">
        <v>44928.0</v>
      </c>
      <c r="L33" s="23" t="s">
        <v>86</v>
      </c>
      <c r="M33" s="25" t="s">
        <v>237</v>
      </c>
      <c r="N33" s="25">
        <v>502254.0</v>
      </c>
      <c r="O33" s="25" t="s">
        <v>238</v>
      </c>
      <c r="P33" s="25">
        <v>114972.0</v>
      </c>
      <c r="Q33" s="12" t="s">
        <v>42</v>
      </c>
      <c r="R33" s="12" t="s">
        <v>105</v>
      </c>
      <c r="S33" s="25"/>
      <c r="T33" s="25"/>
      <c r="U33" s="25" t="s">
        <v>239</v>
      </c>
      <c r="V33" s="29"/>
      <c r="W33" s="25" t="s">
        <v>240</v>
      </c>
      <c r="X33" s="25" t="s">
        <v>47</v>
      </c>
      <c r="Y33" s="25" t="s">
        <v>48</v>
      </c>
      <c r="Z33" s="25" t="s">
        <v>92</v>
      </c>
      <c r="AA33" s="25" t="s">
        <v>62</v>
      </c>
      <c r="AB33" s="25" t="s">
        <v>165</v>
      </c>
      <c r="AC33" s="25"/>
      <c r="AD33" s="25"/>
      <c r="AE33" s="25"/>
      <c r="AF33" s="25" t="s">
        <v>241</v>
      </c>
      <c r="AG33" s="25" t="s">
        <v>167</v>
      </c>
      <c r="AH33" s="10" t="s">
        <v>52</v>
      </c>
      <c r="AI33" s="10"/>
      <c r="AJ33" s="10"/>
      <c r="AK33" s="10"/>
    </row>
    <row r="34" hidden="1">
      <c r="A34" s="10">
        <v>33.0</v>
      </c>
      <c r="B34" s="31">
        <v>44887.0</v>
      </c>
      <c r="C34" s="12">
        <v>0.0</v>
      </c>
      <c r="D34" s="12">
        <f t="shared" si="1"/>
        <v>0</v>
      </c>
      <c r="E34" s="12" t="s">
        <v>37</v>
      </c>
      <c r="F34" s="29"/>
      <c r="G34" s="30"/>
      <c r="H34" s="21"/>
      <c r="I34" s="27">
        <v>3.0</v>
      </c>
      <c r="J34" s="28"/>
      <c r="K34" s="22">
        <v>44931.0</v>
      </c>
      <c r="L34" s="23" t="s">
        <v>242</v>
      </c>
      <c r="M34" s="25" t="s">
        <v>243</v>
      </c>
      <c r="N34" s="25" t="s">
        <v>244</v>
      </c>
      <c r="O34" s="25" t="s">
        <v>245</v>
      </c>
      <c r="P34" s="25">
        <v>1368.0</v>
      </c>
      <c r="Q34" s="25" t="s">
        <v>246</v>
      </c>
      <c r="R34" s="25" t="s">
        <v>247</v>
      </c>
      <c r="S34" s="29"/>
      <c r="T34" s="25"/>
      <c r="U34" s="25" t="s">
        <v>248</v>
      </c>
      <c r="V34" s="29"/>
      <c r="W34" s="25" t="s">
        <v>249</v>
      </c>
      <c r="X34" s="25" t="s">
        <v>47</v>
      </c>
      <c r="Y34" s="25" t="s">
        <v>48</v>
      </c>
      <c r="Z34" s="25" t="s">
        <v>102</v>
      </c>
      <c r="AA34" s="25" t="s">
        <v>62</v>
      </c>
      <c r="AB34" s="25" t="s">
        <v>73</v>
      </c>
      <c r="AC34" s="29"/>
      <c r="AD34" s="29"/>
      <c r="AE34" s="29"/>
      <c r="AF34" s="29"/>
      <c r="AG34" s="25" t="s">
        <v>167</v>
      </c>
      <c r="AH34" s="10" t="s">
        <v>52</v>
      </c>
      <c r="AI34" s="10"/>
      <c r="AJ34" s="10"/>
      <c r="AK34" s="10"/>
    </row>
    <row r="35" hidden="1">
      <c r="A35" s="10">
        <v>34.0</v>
      </c>
      <c r="B35" s="31">
        <v>44901.0</v>
      </c>
      <c r="C35" s="25">
        <v>0.0</v>
      </c>
      <c r="D35" s="12">
        <f t="shared" si="1"/>
        <v>0</v>
      </c>
      <c r="E35" s="12" t="s">
        <v>37</v>
      </c>
      <c r="F35" s="25"/>
      <c r="G35" s="26"/>
      <c r="H35" s="21"/>
      <c r="I35" s="27">
        <v>8.0</v>
      </c>
      <c r="J35" s="28"/>
      <c r="K35" s="22">
        <v>44936.0</v>
      </c>
      <c r="L35" s="23" t="s">
        <v>250</v>
      </c>
      <c r="M35" s="25" t="s">
        <v>251</v>
      </c>
      <c r="N35" s="25" t="s">
        <v>252</v>
      </c>
      <c r="O35" s="25" t="s">
        <v>253</v>
      </c>
      <c r="P35" s="25">
        <v>5312.0</v>
      </c>
      <c r="Q35" s="25" t="s">
        <v>148</v>
      </c>
      <c r="R35" s="25" t="s">
        <v>254</v>
      </c>
      <c r="S35" s="25"/>
      <c r="T35" s="25"/>
      <c r="U35" s="25" t="s">
        <v>255</v>
      </c>
      <c r="V35" s="29"/>
      <c r="W35" s="25" t="s">
        <v>256</v>
      </c>
      <c r="X35" s="25" t="s">
        <v>47</v>
      </c>
      <c r="Y35" s="25" t="s">
        <v>48</v>
      </c>
      <c r="Z35" s="25" t="s">
        <v>102</v>
      </c>
      <c r="AA35" s="25" t="s">
        <v>72</v>
      </c>
      <c r="AB35" s="25" t="s">
        <v>257</v>
      </c>
      <c r="AC35" s="25"/>
      <c r="AD35" s="25"/>
      <c r="AE35" s="25"/>
      <c r="AF35" s="25"/>
      <c r="AG35" s="29"/>
      <c r="AH35" s="10" t="s">
        <v>52</v>
      </c>
      <c r="AI35" s="10"/>
      <c r="AJ35" s="10"/>
      <c r="AK35" s="10"/>
    </row>
    <row r="36" hidden="1">
      <c r="A36" s="10">
        <v>35.0</v>
      </c>
      <c r="B36" s="31">
        <v>44904.0</v>
      </c>
      <c r="C36" s="12">
        <v>0.0</v>
      </c>
      <c r="D36" s="12">
        <f t="shared" si="1"/>
        <v>0</v>
      </c>
      <c r="E36" s="12" t="s">
        <v>37</v>
      </c>
      <c r="F36" s="25"/>
      <c r="G36" s="26"/>
      <c r="H36" s="21"/>
      <c r="I36" s="27">
        <v>1.0</v>
      </c>
      <c r="J36" s="28"/>
      <c r="K36" s="22">
        <v>44936.0</v>
      </c>
      <c r="L36" s="23" t="s">
        <v>78</v>
      </c>
      <c r="M36" s="25" t="s">
        <v>258</v>
      </c>
      <c r="N36" s="25" t="s">
        <v>259</v>
      </c>
      <c r="O36" s="25" t="s">
        <v>66</v>
      </c>
      <c r="P36" s="25">
        <v>5365.0</v>
      </c>
      <c r="Q36" s="12" t="s">
        <v>80</v>
      </c>
      <c r="R36" s="12" t="s">
        <v>81</v>
      </c>
      <c r="S36" s="25"/>
      <c r="T36" s="25"/>
      <c r="U36" s="25" t="s">
        <v>260</v>
      </c>
      <c r="V36" s="29"/>
      <c r="W36" s="25" t="s">
        <v>261</v>
      </c>
      <c r="X36" s="25" t="s">
        <v>47</v>
      </c>
      <c r="Y36" s="25" t="s">
        <v>48</v>
      </c>
      <c r="Z36" s="25" t="s">
        <v>49</v>
      </c>
      <c r="AA36" s="25" t="s">
        <v>62</v>
      </c>
      <c r="AB36" s="25" t="s">
        <v>257</v>
      </c>
      <c r="AC36" s="25"/>
      <c r="AD36" s="25"/>
      <c r="AE36" s="25"/>
      <c r="AF36" s="25" t="s">
        <v>262</v>
      </c>
      <c r="AG36" s="29"/>
      <c r="AH36" s="10" t="s">
        <v>52</v>
      </c>
      <c r="AI36" s="10"/>
      <c r="AJ36" s="10"/>
      <c r="AK36" s="10"/>
    </row>
    <row r="37" hidden="1">
      <c r="A37" s="10">
        <v>36.0</v>
      </c>
      <c r="B37" s="31">
        <v>44911.0</v>
      </c>
      <c r="C37" s="12">
        <v>0.0</v>
      </c>
      <c r="D37" s="12">
        <f t="shared" si="1"/>
        <v>0</v>
      </c>
      <c r="E37" s="12" t="s">
        <v>37</v>
      </c>
      <c r="F37" s="25"/>
      <c r="G37" s="26"/>
      <c r="H37" s="21"/>
      <c r="I37" s="27">
        <v>2.0</v>
      </c>
      <c r="J37" s="28"/>
      <c r="K37" s="22">
        <v>44936.0</v>
      </c>
      <c r="L37" s="19" t="s">
        <v>53</v>
      </c>
      <c r="M37" s="25" t="s">
        <v>263</v>
      </c>
      <c r="N37" s="25" t="s">
        <v>264</v>
      </c>
      <c r="O37" s="25" t="s">
        <v>66</v>
      </c>
      <c r="P37" s="25">
        <v>5186.0</v>
      </c>
      <c r="Q37" s="12" t="s">
        <v>129</v>
      </c>
      <c r="R37" s="12" t="s">
        <v>130</v>
      </c>
      <c r="S37" s="25"/>
      <c r="T37" s="25"/>
      <c r="U37" s="25" t="s">
        <v>265</v>
      </c>
      <c r="V37" s="29"/>
      <c r="W37" s="25" t="s">
        <v>266</v>
      </c>
      <c r="X37" s="25" t="s">
        <v>47</v>
      </c>
      <c r="Y37" s="25" t="s">
        <v>48</v>
      </c>
      <c r="Z37" s="25" t="s">
        <v>61</v>
      </c>
      <c r="AA37" s="25" t="s">
        <v>72</v>
      </c>
      <c r="AB37" s="25" t="s">
        <v>257</v>
      </c>
      <c r="AC37" s="25"/>
      <c r="AD37" s="25"/>
      <c r="AE37" s="25"/>
      <c r="AF37" s="25"/>
      <c r="AG37" s="29"/>
      <c r="AH37" s="10" t="s">
        <v>52</v>
      </c>
      <c r="AI37" s="10"/>
      <c r="AJ37" s="10"/>
      <c r="AK37" s="10"/>
    </row>
    <row r="38" hidden="1">
      <c r="A38" s="10">
        <v>37.0</v>
      </c>
      <c r="B38" s="31">
        <v>44880.0</v>
      </c>
      <c r="C38" s="25">
        <v>0.0</v>
      </c>
      <c r="D38" s="12">
        <f t="shared" si="1"/>
        <v>0</v>
      </c>
      <c r="E38" s="12" t="s">
        <v>37</v>
      </c>
      <c r="F38" s="25"/>
      <c r="G38" s="26"/>
      <c r="H38" s="21"/>
      <c r="I38" s="27">
        <v>2.0</v>
      </c>
      <c r="J38" s="28"/>
      <c r="K38" s="22">
        <v>44938.0</v>
      </c>
      <c r="L38" s="23" t="s">
        <v>157</v>
      </c>
      <c r="M38" s="34"/>
      <c r="N38" s="25" t="s">
        <v>267</v>
      </c>
      <c r="O38" s="25" t="s">
        <v>66</v>
      </c>
      <c r="P38" s="25">
        <v>3290.0</v>
      </c>
      <c r="Q38" s="25" t="s">
        <v>160</v>
      </c>
      <c r="R38" s="25" t="s">
        <v>161</v>
      </c>
      <c r="S38" s="25"/>
      <c r="T38" s="25"/>
      <c r="U38" s="25" t="s">
        <v>268</v>
      </c>
      <c r="V38" s="29"/>
      <c r="W38" s="25" t="s">
        <v>269</v>
      </c>
      <c r="X38" s="25" t="s">
        <v>47</v>
      </c>
      <c r="Y38" s="25" t="s">
        <v>48</v>
      </c>
      <c r="Z38" s="25" t="s">
        <v>92</v>
      </c>
      <c r="AA38" s="25" t="s">
        <v>164</v>
      </c>
      <c r="AB38" s="25" t="s">
        <v>165</v>
      </c>
      <c r="AC38" s="25"/>
      <c r="AD38" s="25"/>
      <c r="AE38" s="25"/>
      <c r="AF38" s="25"/>
      <c r="AG38" s="25" t="s">
        <v>167</v>
      </c>
      <c r="AH38" s="10" t="s">
        <v>52</v>
      </c>
      <c r="AI38" s="10"/>
      <c r="AJ38" s="10"/>
      <c r="AK38" s="10"/>
    </row>
    <row r="39" hidden="1">
      <c r="A39" s="10">
        <v>38.0</v>
      </c>
      <c r="B39" s="11">
        <v>44884.0</v>
      </c>
      <c r="C39" s="12">
        <v>0.0</v>
      </c>
      <c r="D39" s="12">
        <f t="shared" si="1"/>
        <v>0</v>
      </c>
      <c r="E39" s="12" t="s">
        <v>37</v>
      </c>
      <c r="F39" s="13"/>
      <c r="G39" s="14"/>
      <c r="H39" s="15"/>
      <c r="I39" s="16">
        <v>6.0</v>
      </c>
      <c r="J39" s="17"/>
      <c r="K39" s="18">
        <v>44940.0</v>
      </c>
      <c r="L39" s="19" t="s">
        <v>270</v>
      </c>
      <c r="M39" s="12" t="s">
        <v>271</v>
      </c>
      <c r="N39" s="12" t="s">
        <v>272</v>
      </c>
      <c r="O39" s="12" t="s">
        <v>273</v>
      </c>
      <c r="P39" s="12">
        <v>2510.0</v>
      </c>
      <c r="Q39" s="12" t="s">
        <v>274</v>
      </c>
      <c r="R39" s="25" t="s">
        <v>275</v>
      </c>
      <c r="S39" s="13"/>
      <c r="T39" s="12"/>
      <c r="U39" s="12" t="s">
        <v>276</v>
      </c>
      <c r="V39" s="13"/>
      <c r="W39" s="12" t="s">
        <v>277</v>
      </c>
      <c r="X39" s="12" t="s">
        <v>47</v>
      </c>
      <c r="Y39" s="12" t="s">
        <v>48</v>
      </c>
      <c r="Z39" s="12" t="s">
        <v>61</v>
      </c>
      <c r="AA39" s="12" t="s">
        <v>72</v>
      </c>
      <c r="AB39" s="12" t="s">
        <v>51</v>
      </c>
      <c r="AC39" s="13"/>
      <c r="AD39" s="13"/>
      <c r="AE39" s="13"/>
      <c r="AF39" s="13"/>
      <c r="AG39" s="13"/>
      <c r="AH39" s="10" t="s">
        <v>52</v>
      </c>
      <c r="AI39" s="10"/>
      <c r="AJ39" s="10"/>
      <c r="AK39" s="10"/>
    </row>
    <row r="40" hidden="1">
      <c r="A40" s="10">
        <v>39.0</v>
      </c>
      <c r="B40" s="31">
        <v>44898.0</v>
      </c>
      <c r="C40" s="25">
        <v>0.0</v>
      </c>
      <c r="D40" s="12">
        <f t="shared" si="1"/>
        <v>0</v>
      </c>
      <c r="E40" s="12" t="s">
        <v>37</v>
      </c>
      <c r="F40" s="29"/>
      <c r="G40" s="30"/>
      <c r="H40" s="21"/>
      <c r="I40" s="27">
        <v>2.0</v>
      </c>
      <c r="J40" s="28"/>
      <c r="K40" s="22">
        <v>44940.0</v>
      </c>
      <c r="L40" s="19" t="s">
        <v>38</v>
      </c>
      <c r="M40" s="25" t="s">
        <v>278</v>
      </c>
      <c r="N40" s="25" t="s">
        <v>279</v>
      </c>
      <c r="O40" s="25" t="s">
        <v>66</v>
      </c>
      <c r="P40" s="25">
        <v>3291.0</v>
      </c>
      <c r="Q40" s="12" t="s">
        <v>42</v>
      </c>
      <c r="R40" s="12" t="s">
        <v>105</v>
      </c>
      <c r="S40" s="29"/>
      <c r="T40" s="25"/>
      <c r="U40" s="25" t="s">
        <v>280</v>
      </c>
      <c r="V40" s="29"/>
      <c r="W40" s="25" t="s">
        <v>281</v>
      </c>
      <c r="X40" s="25" t="s">
        <v>47</v>
      </c>
      <c r="Y40" s="25" t="s">
        <v>48</v>
      </c>
      <c r="Z40" s="25" t="s">
        <v>49</v>
      </c>
      <c r="AA40" s="25" t="s">
        <v>50</v>
      </c>
      <c r="AB40" s="25" t="s">
        <v>138</v>
      </c>
      <c r="AC40" s="29"/>
      <c r="AD40" s="29"/>
      <c r="AE40" s="29"/>
      <c r="AF40" s="29"/>
      <c r="AG40" s="25" t="s">
        <v>167</v>
      </c>
      <c r="AH40" s="10" t="s">
        <v>52</v>
      </c>
      <c r="AI40" s="10"/>
      <c r="AJ40" s="10"/>
      <c r="AK40" s="10"/>
    </row>
    <row r="41" hidden="1">
      <c r="A41" s="10">
        <v>40.0</v>
      </c>
      <c r="B41" s="11">
        <v>44895.0</v>
      </c>
      <c r="C41" s="25">
        <v>0.0</v>
      </c>
      <c r="D41" s="12">
        <f t="shared" si="1"/>
        <v>0</v>
      </c>
      <c r="E41" s="12" t="s">
        <v>37</v>
      </c>
      <c r="F41" s="25"/>
      <c r="G41" s="26"/>
      <c r="H41" s="21"/>
      <c r="I41" s="27">
        <v>1.0</v>
      </c>
      <c r="J41" s="28"/>
      <c r="K41" s="22">
        <v>44942.0</v>
      </c>
      <c r="L41" s="19" t="s">
        <v>53</v>
      </c>
      <c r="M41" s="25" t="s">
        <v>282</v>
      </c>
      <c r="N41" s="25" t="s">
        <v>283</v>
      </c>
      <c r="O41" s="25" t="s">
        <v>66</v>
      </c>
      <c r="P41" s="25">
        <v>4270.0</v>
      </c>
      <c r="Q41" s="25" t="s">
        <v>284</v>
      </c>
      <c r="R41" s="25" t="s">
        <v>285</v>
      </c>
      <c r="S41" s="25"/>
      <c r="T41" s="25"/>
      <c r="U41" s="25" t="s">
        <v>286</v>
      </c>
      <c r="V41" s="29"/>
      <c r="W41" s="25" t="s">
        <v>287</v>
      </c>
      <c r="X41" s="25" t="s">
        <v>47</v>
      </c>
      <c r="Y41" s="25" t="s">
        <v>48</v>
      </c>
      <c r="Z41" s="25" t="s">
        <v>61</v>
      </c>
      <c r="AA41" s="25" t="s">
        <v>62</v>
      </c>
      <c r="AB41" s="12" t="s">
        <v>51</v>
      </c>
      <c r="AC41" s="25"/>
      <c r="AD41" s="25"/>
      <c r="AE41" s="25"/>
      <c r="AF41" s="25" t="s">
        <v>288</v>
      </c>
      <c r="AG41" s="25" t="s">
        <v>289</v>
      </c>
      <c r="AH41" s="10" t="s">
        <v>52</v>
      </c>
      <c r="AI41" s="10"/>
      <c r="AJ41" s="10"/>
      <c r="AK41" s="10"/>
    </row>
    <row r="42" hidden="1">
      <c r="A42" s="10">
        <v>41.0</v>
      </c>
      <c r="B42" s="31">
        <v>44903.0</v>
      </c>
      <c r="C42" s="25">
        <v>0.0</v>
      </c>
      <c r="D42" s="12">
        <f t="shared" si="1"/>
        <v>0</v>
      </c>
      <c r="E42" s="12" t="s">
        <v>37</v>
      </c>
      <c r="F42" s="25"/>
      <c r="G42" s="26"/>
      <c r="H42" s="21"/>
      <c r="I42" s="27">
        <v>4.0</v>
      </c>
      <c r="J42" s="28"/>
      <c r="K42" s="22">
        <v>44943.0</v>
      </c>
      <c r="L42" s="23" t="s">
        <v>86</v>
      </c>
      <c r="M42" s="25" t="s">
        <v>290</v>
      </c>
      <c r="N42" s="25" t="s">
        <v>291</v>
      </c>
      <c r="O42" s="25" t="s">
        <v>66</v>
      </c>
      <c r="P42" s="25">
        <v>4256.0</v>
      </c>
      <c r="Q42" s="12" t="s">
        <v>80</v>
      </c>
      <c r="R42" s="12" t="s">
        <v>89</v>
      </c>
      <c r="S42" s="25"/>
      <c r="T42" s="25"/>
      <c r="U42" s="25" t="s">
        <v>292</v>
      </c>
      <c r="V42" s="29"/>
      <c r="W42" s="25" t="s">
        <v>293</v>
      </c>
      <c r="X42" s="25" t="s">
        <v>47</v>
      </c>
      <c r="Y42" s="25" t="s">
        <v>48</v>
      </c>
      <c r="Z42" s="25" t="s">
        <v>92</v>
      </c>
      <c r="AA42" s="25" t="s">
        <v>62</v>
      </c>
      <c r="AB42" s="25" t="s">
        <v>294</v>
      </c>
      <c r="AC42" s="25"/>
      <c r="AD42" s="25"/>
      <c r="AE42" s="25"/>
      <c r="AF42" s="25" t="s">
        <v>295</v>
      </c>
      <c r="AG42" s="25" t="s">
        <v>167</v>
      </c>
      <c r="AH42" s="10" t="s">
        <v>52</v>
      </c>
      <c r="AI42" s="10"/>
      <c r="AJ42" s="10"/>
      <c r="AK42" s="10"/>
    </row>
    <row r="43" hidden="1">
      <c r="A43" s="10">
        <v>42.0</v>
      </c>
      <c r="B43" s="31">
        <v>44939.0</v>
      </c>
      <c r="C43" s="25">
        <v>0.0</v>
      </c>
      <c r="D43" s="12">
        <f t="shared" si="1"/>
        <v>0</v>
      </c>
      <c r="E43" s="12" t="s">
        <v>37</v>
      </c>
      <c r="F43" s="25"/>
      <c r="G43" s="26"/>
      <c r="H43" s="21"/>
      <c r="I43" s="27">
        <v>1.0</v>
      </c>
      <c r="J43" s="28"/>
      <c r="K43" s="22">
        <v>44945.0</v>
      </c>
      <c r="L43" s="19" t="s">
        <v>53</v>
      </c>
      <c r="M43" s="25" t="s">
        <v>296</v>
      </c>
      <c r="N43" s="25">
        <v>894626.0</v>
      </c>
      <c r="O43" s="25" t="s">
        <v>66</v>
      </c>
      <c r="P43" s="25">
        <v>87647.0</v>
      </c>
      <c r="Q43" s="12" t="s">
        <v>129</v>
      </c>
      <c r="R43" s="25" t="s">
        <v>297</v>
      </c>
      <c r="S43" s="35">
        <v>895.0</v>
      </c>
      <c r="T43" s="25"/>
      <c r="U43" s="25" t="s">
        <v>298</v>
      </c>
      <c r="V43" s="29"/>
      <c r="W43" s="25" t="s">
        <v>299</v>
      </c>
      <c r="X43" s="25" t="s">
        <v>90</v>
      </c>
      <c r="Y43" s="25" t="s">
        <v>91</v>
      </c>
      <c r="Z43" s="25" t="s">
        <v>102</v>
      </c>
      <c r="AA43" s="25" t="s">
        <v>91</v>
      </c>
      <c r="AB43" s="25" t="s">
        <v>138</v>
      </c>
      <c r="AC43" s="25"/>
      <c r="AD43" s="25"/>
      <c r="AE43" s="25"/>
      <c r="AF43" s="25" t="s">
        <v>300</v>
      </c>
      <c r="AG43" s="25" t="s">
        <v>175</v>
      </c>
      <c r="AH43" s="10" t="s">
        <v>52</v>
      </c>
      <c r="AI43" s="10"/>
      <c r="AJ43" s="10"/>
      <c r="AK43" s="10"/>
    </row>
    <row r="44" hidden="1">
      <c r="A44" s="10">
        <v>43.0</v>
      </c>
      <c r="B44" s="31">
        <v>44918.0</v>
      </c>
      <c r="C44" s="25">
        <v>0.0</v>
      </c>
      <c r="D44" s="12">
        <f t="shared" si="1"/>
        <v>0</v>
      </c>
      <c r="E44" s="12" t="s">
        <v>37</v>
      </c>
      <c r="F44" s="25"/>
      <c r="G44" s="26"/>
      <c r="H44" s="21"/>
      <c r="I44" s="27">
        <v>1.0</v>
      </c>
      <c r="J44" s="28"/>
      <c r="K44" s="22">
        <v>44948.0</v>
      </c>
      <c r="L44" s="19" t="s">
        <v>38</v>
      </c>
      <c r="M44" s="25" t="s">
        <v>301</v>
      </c>
      <c r="N44" s="25" t="s">
        <v>302</v>
      </c>
      <c r="O44" s="25" t="s">
        <v>66</v>
      </c>
      <c r="P44" s="25">
        <v>11947.0</v>
      </c>
      <c r="Q44" s="12" t="s">
        <v>42</v>
      </c>
      <c r="R44" s="12" t="s">
        <v>43</v>
      </c>
      <c r="S44" s="32">
        <v>3550.0</v>
      </c>
      <c r="T44" s="25"/>
      <c r="U44" s="25" t="s">
        <v>303</v>
      </c>
      <c r="V44" s="29"/>
      <c r="W44" s="25" t="s">
        <v>304</v>
      </c>
      <c r="X44" s="25" t="s">
        <v>47</v>
      </c>
      <c r="Y44" s="25" t="s">
        <v>48</v>
      </c>
      <c r="Z44" s="25" t="s">
        <v>49</v>
      </c>
      <c r="AA44" s="25" t="s">
        <v>50</v>
      </c>
      <c r="AB44" s="12" t="s">
        <v>114</v>
      </c>
      <c r="AC44" s="25"/>
      <c r="AD44" s="25"/>
      <c r="AE44" s="25"/>
      <c r="AF44" s="25" t="s">
        <v>305</v>
      </c>
      <c r="AG44" s="29"/>
      <c r="AH44" s="10" t="s">
        <v>52</v>
      </c>
      <c r="AI44" s="10"/>
      <c r="AJ44" s="10"/>
      <c r="AK44" s="10"/>
    </row>
    <row r="45" hidden="1">
      <c r="A45" s="10">
        <v>44.0</v>
      </c>
      <c r="B45" s="31">
        <v>44919.0</v>
      </c>
      <c r="C45" s="25">
        <v>0.0</v>
      </c>
      <c r="D45" s="12">
        <f t="shared" si="1"/>
        <v>0</v>
      </c>
      <c r="E45" s="12" t="s">
        <v>37</v>
      </c>
      <c r="F45" s="25"/>
      <c r="G45" s="26"/>
      <c r="H45" s="21"/>
      <c r="I45" s="27">
        <v>1.0</v>
      </c>
      <c r="J45" s="28"/>
      <c r="K45" s="22">
        <v>44948.0</v>
      </c>
      <c r="L45" s="19" t="s">
        <v>53</v>
      </c>
      <c r="M45" s="25" t="s">
        <v>306</v>
      </c>
      <c r="N45" s="25" t="s">
        <v>307</v>
      </c>
      <c r="O45" s="25" t="s">
        <v>66</v>
      </c>
      <c r="P45" s="25">
        <v>4996.0</v>
      </c>
      <c r="Q45" s="12" t="s">
        <v>67</v>
      </c>
      <c r="R45" s="25" t="s">
        <v>111</v>
      </c>
      <c r="S45" s="25"/>
      <c r="T45" s="25"/>
      <c r="U45" s="25" t="s">
        <v>308</v>
      </c>
      <c r="V45" s="29"/>
      <c r="W45" s="25" t="s">
        <v>309</v>
      </c>
      <c r="X45" s="25" t="s">
        <v>47</v>
      </c>
      <c r="Y45" s="25" t="s">
        <v>48</v>
      </c>
      <c r="Z45" s="25" t="s">
        <v>49</v>
      </c>
      <c r="AA45" s="25" t="s">
        <v>62</v>
      </c>
      <c r="AB45" s="25" t="s">
        <v>114</v>
      </c>
      <c r="AC45" s="25"/>
      <c r="AD45" s="25"/>
      <c r="AE45" s="25"/>
      <c r="AF45" s="25" t="s">
        <v>310</v>
      </c>
      <c r="AG45" s="29"/>
      <c r="AH45" s="10" t="s">
        <v>52</v>
      </c>
      <c r="AI45" s="10"/>
      <c r="AJ45" s="10"/>
      <c r="AK45" s="10"/>
    </row>
    <row r="46" hidden="1">
      <c r="A46" s="10">
        <v>45.0</v>
      </c>
      <c r="B46" s="31">
        <v>44918.0</v>
      </c>
      <c r="C46" s="25">
        <v>0.0</v>
      </c>
      <c r="D46" s="12">
        <f t="shared" si="1"/>
        <v>0</v>
      </c>
      <c r="E46" s="12" t="s">
        <v>37</v>
      </c>
      <c r="F46" s="25"/>
      <c r="G46" s="26"/>
      <c r="H46" s="21"/>
      <c r="I46" s="27">
        <v>2.0</v>
      </c>
      <c r="J46" s="28"/>
      <c r="K46" s="22">
        <v>44949.0</v>
      </c>
      <c r="L46" s="19" t="s">
        <v>38</v>
      </c>
      <c r="M46" s="25" t="s">
        <v>311</v>
      </c>
      <c r="N46" s="25" t="s">
        <v>312</v>
      </c>
      <c r="O46" s="25" t="s">
        <v>313</v>
      </c>
      <c r="P46" s="25">
        <v>12456.0</v>
      </c>
      <c r="Q46" s="12" t="s">
        <v>42</v>
      </c>
      <c r="R46" s="12" t="s">
        <v>43</v>
      </c>
      <c r="S46" s="32">
        <v>3550.0</v>
      </c>
      <c r="T46" s="25"/>
      <c r="U46" s="25" t="s">
        <v>314</v>
      </c>
      <c r="V46" s="29"/>
      <c r="W46" s="25" t="s">
        <v>315</v>
      </c>
      <c r="X46" s="25" t="s">
        <v>47</v>
      </c>
      <c r="Y46" s="25" t="s">
        <v>48</v>
      </c>
      <c r="Z46" s="25" t="s">
        <v>49</v>
      </c>
      <c r="AA46" s="25" t="s">
        <v>50</v>
      </c>
      <c r="AB46" s="25" t="s">
        <v>114</v>
      </c>
      <c r="AC46" s="25"/>
      <c r="AD46" s="25"/>
      <c r="AE46" s="25"/>
      <c r="AF46" s="25" t="s">
        <v>310</v>
      </c>
      <c r="AG46" s="29"/>
      <c r="AH46" s="10" t="s">
        <v>52</v>
      </c>
      <c r="AI46" s="10"/>
      <c r="AJ46" s="10"/>
      <c r="AK46" s="10"/>
    </row>
    <row r="47" hidden="1">
      <c r="A47" s="10">
        <v>46.0</v>
      </c>
      <c r="B47" s="31">
        <v>44907.0</v>
      </c>
      <c r="C47" s="25">
        <v>0.0</v>
      </c>
      <c r="D47" s="12">
        <f t="shared" si="1"/>
        <v>0</v>
      </c>
      <c r="E47" s="12" t="s">
        <v>37</v>
      </c>
      <c r="F47" s="25"/>
      <c r="G47" s="26"/>
      <c r="H47" s="36"/>
      <c r="I47" s="27">
        <v>3.0</v>
      </c>
      <c r="J47" s="28"/>
      <c r="K47" s="22">
        <v>44950.0</v>
      </c>
      <c r="L47" s="19" t="s">
        <v>38</v>
      </c>
      <c r="M47" s="25" t="s">
        <v>316</v>
      </c>
      <c r="N47" s="25" t="s">
        <v>317</v>
      </c>
      <c r="O47" s="25" t="s">
        <v>66</v>
      </c>
      <c r="P47" s="25">
        <v>11935.0</v>
      </c>
      <c r="Q47" s="12" t="s">
        <v>42</v>
      </c>
      <c r="R47" s="12" t="s">
        <v>43</v>
      </c>
      <c r="S47" s="25"/>
      <c r="T47" s="25"/>
      <c r="U47" s="25" t="s">
        <v>318</v>
      </c>
      <c r="V47" s="29"/>
      <c r="W47" s="25" t="s">
        <v>319</v>
      </c>
      <c r="X47" s="25" t="s">
        <v>47</v>
      </c>
      <c r="Y47" s="25" t="s">
        <v>48</v>
      </c>
      <c r="Z47" s="25" t="s">
        <v>49</v>
      </c>
      <c r="AA47" s="25" t="s">
        <v>50</v>
      </c>
      <c r="AB47" s="12" t="s">
        <v>114</v>
      </c>
      <c r="AC47" s="25"/>
      <c r="AD47" s="25"/>
      <c r="AE47" s="25"/>
      <c r="AF47" s="25" t="s">
        <v>320</v>
      </c>
      <c r="AG47" s="29"/>
      <c r="AH47" s="10" t="s">
        <v>52</v>
      </c>
      <c r="AI47" s="10"/>
      <c r="AJ47" s="10"/>
      <c r="AK47" s="10"/>
    </row>
    <row r="48" hidden="1">
      <c r="A48" s="10">
        <v>47.0</v>
      </c>
      <c r="B48" s="31">
        <v>44912.0</v>
      </c>
      <c r="C48" s="25">
        <v>0.0</v>
      </c>
      <c r="D48" s="12">
        <f t="shared" si="1"/>
        <v>0</v>
      </c>
      <c r="E48" s="12" t="s">
        <v>37</v>
      </c>
      <c r="F48" s="25"/>
      <c r="G48" s="26"/>
      <c r="H48" s="21"/>
      <c r="I48" s="27">
        <v>1.0</v>
      </c>
      <c r="J48" s="28"/>
      <c r="K48" s="22">
        <v>44950.0</v>
      </c>
      <c r="L48" s="19" t="s">
        <v>38</v>
      </c>
      <c r="M48" s="25" t="s">
        <v>321</v>
      </c>
      <c r="N48" s="25" t="s">
        <v>322</v>
      </c>
      <c r="O48" s="25" t="s">
        <v>323</v>
      </c>
      <c r="P48" s="25">
        <v>6527.0</v>
      </c>
      <c r="Q48" s="12" t="s">
        <v>42</v>
      </c>
      <c r="R48" s="12" t="s">
        <v>105</v>
      </c>
      <c r="S48" s="32">
        <v>2050.0</v>
      </c>
      <c r="T48" s="25"/>
      <c r="U48" s="25" t="s">
        <v>324</v>
      </c>
      <c r="V48" s="29"/>
      <c r="W48" s="25" t="s">
        <v>325</v>
      </c>
      <c r="X48" s="25" t="s">
        <v>47</v>
      </c>
      <c r="Y48" s="25" t="s">
        <v>48</v>
      </c>
      <c r="Z48" s="25" t="s">
        <v>49</v>
      </c>
      <c r="AA48" s="25" t="s">
        <v>62</v>
      </c>
      <c r="AB48" s="25" t="s">
        <v>138</v>
      </c>
      <c r="AC48" s="25"/>
      <c r="AD48" s="25"/>
      <c r="AE48" s="25"/>
      <c r="AF48" s="25" t="s">
        <v>326</v>
      </c>
      <c r="AG48" s="29"/>
      <c r="AH48" s="10" t="s">
        <v>52</v>
      </c>
      <c r="AI48" s="10"/>
      <c r="AJ48" s="10"/>
      <c r="AK48" s="10"/>
    </row>
    <row r="49" hidden="1">
      <c r="A49" s="10">
        <v>48.0</v>
      </c>
      <c r="B49" s="31">
        <v>44929.0</v>
      </c>
      <c r="C49" s="25">
        <v>0.0</v>
      </c>
      <c r="D49" s="12">
        <f t="shared" si="1"/>
        <v>0</v>
      </c>
      <c r="E49" s="12" t="s">
        <v>37</v>
      </c>
      <c r="F49" s="25"/>
      <c r="G49" s="26"/>
      <c r="H49" s="37"/>
      <c r="I49" s="27">
        <v>1.0</v>
      </c>
      <c r="J49" s="28"/>
      <c r="K49" s="22">
        <v>44950.0</v>
      </c>
      <c r="L49" s="23" t="s">
        <v>168</v>
      </c>
      <c r="M49" s="25" t="s">
        <v>327</v>
      </c>
      <c r="N49" s="25">
        <v>5230107.0</v>
      </c>
      <c r="O49" s="25" t="s">
        <v>328</v>
      </c>
      <c r="P49" s="25">
        <v>18504.0</v>
      </c>
      <c r="Q49" s="25" t="s">
        <v>171</v>
      </c>
      <c r="R49" s="25" t="s">
        <v>172</v>
      </c>
      <c r="S49" s="32">
        <v>2320.0</v>
      </c>
      <c r="T49" s="25"/>
      <c r="U49" s="25" t="s">
        <v>329</v>
      </c>
      <c r="V49" s="29"/>
      <c r="W49" s="25" t="s">
        <v>330</v>
      </c>
      <c r="X49" s="25" t="s">
        <v>47</v>
      </c>
      <c r="Y49" s="25" t="s">
        <v>120</v>
      </c>
      <c r="Z49" s="25" t="s">
        <v>102</v>
      </c>
      <c r="AA49" s="25" t="s">
        <v>72</v>
      </c>
      <c r="AB49" s="25" t="s">
        <v>257</v>
      </c>
      <c r="AC49" s="25"/>
      <c r="AD49" s="25"/>
      <c r="AE49" s="25"/>
      <c r="AF49" s="25"/>
      <c r="AG49" s="25" t="s">
        <v>175</v>
      </c>
      <c r="AH49" s="10" t="s">
        <v>52</v>
      </c>
      <c r="AI49" s="10"/>
      <c r="AJ49" s="10"/>
      <c r="AK49" s="10"/>
    </row>
    <row r="50" hidden="1">
      <c r="A50" s="10">
        <v>49.0</v>
      </c>
      <c r="B50" s="31">
        <v>44912.0</v>
      </c>
      <c r="C50" s="25">
        <v>0.0</v>
      </c>
      <c r="D50" s="12">
        <f t="shared" si="1"/>
        <v>0</v>
      </c>
      <c r="E50" s="12" t="s">
        <v>37</v>
      </c>
      <c r="F50" s="25"/>
      <c r="G50" s="26"/>
      <c r="H50" s="21"/>
      <c r="I50" s="27">
        <v>4.0</v>
      </c>
      <c r="J50" s="28"/>
      <c r="K50" s="22">
        <v>44951.0</v>
      </c>
      <c r="L50" s="23" t="s">
        <v>95</v>
      </c>
      <c r="M50" s="25" t="s">
        <v>331</v>
      </c>
      <c r="N50" s="25" t="s">
        <v>332</v>
      </c>
      <c r="O50" s="25" t="s">
        <v>333</v>
      </c>
      <c r="P50" s="25">
        <v>6529.0</v>
      </c>
      <c r="Q50" s="12" t="s">
        <v>42</v>
      </c>
      <c r="R50" s="25" t="s">
        <v>334</v>
      </c>
      <c r="S50" s="32">
        <v>2075.0</v>
      </c>
      <c r="T50" s="25"/>
      <c r="U50" s="25" t="s">
        <v>335</v>
      </c>
      <c r="V50" s="29"/>
      <c r="W50" s="25" t="s">
        <v>336</v>
      </c>
      <c r="X50" s="25" t="s">
        <v>47</v>
      </c>
      <c r="Y50" s="25" t="s">
        <v>48</v>
      </c>
      <c r="Z50" s="25" t="s">
        <v>49</v>
      </c>
      <c r="AA50" s="25" t="s">
        <v>62</v>
      </c>
      <c r="AB50" s="25" t="s">
        <v>138</v>
      </c>
      <c r="AC50" s="25"/>
      <c r="AD50" s="25"/>
      <c r="AE50" s="25"/>
      <c r="AF50" s="25" t="s">
        <v>337</v>
      </c>
      <c r="AG50" s="29"/>
      <c r="AH50" s="10" t="s">
        <v>52</v>
      </c>
      <c r="AI50" s="10"/>
      <c r="AJ50" s="10"/>
      <c r="AK50" s="10"/>
    </row>
    <row r="51" hidden="1">
      <c r="A51" s="10">
        <v>50.0</v>
      </c>
      <c r="B51" s="38">
        <v>44928.0</v>
      </c>
      <c r="C51" s="25">
        <v>0.0</v>
      </c>
      <c r="D51" s="12">
        <f t="shared" si="1"/>
        <v>0</v>
      </c>
      <c r="E51" s="12" t="s">
        <v>37</v>
      </c>
      <c r="F51" s="25"/>
      <c r="G51" s="26"/>
      <c r="H51" s="21"/>
      <c r="I51" s="27">
        <v>3.0</v>
      </c>
      <c r="J51" s="28"/>
      <c r="K51" s="22">
        <v>44952.0</v>
      </c>
      <c r="L51" s="23" t="s">
        <v>180</v>
      </c>
      <c r="M51" s="25" t="s">
        <v>158</v>
      </c>
      <c r="N51" s="25" t="s">
        <v>338</v>
      </c>
      <c r="O51" s="25" t="s">
        <v>66</v>
      </c>
      <c r="P51" s="25">
        <v>23508.0</v>
      </c>
      <c r="Q51" s="12" t="s">
        <v>80</v>
      </c>
      <c r="R51" s="25" t="s">
        <v>183</v>
      </c>
      <c r="S51" s="32">
        <v>1660.0</v>
      </c>
      <c r="T51" s="25"/>
      <c r="U51" s="25" t="s">
        <v>339</v>
      </c>
      <c r="V51" s="29"/>
      <c r="W51" s="25" t="s">
        <v>340</v>
      </c>
      <c r="X51" s="25" t="s">
        <v>47</v>
      </c>
      <c r="Y51" s="25" t="s">
        <v>341</v>
      </c>
      <c r="Z51" s="25" t="s">
        <v>102</v>
      </c>
      <c r="AA51" s="25" t="s">
        <v>72</v>
      </c>
      <c r="AB51" s="25" t="s">
        <v>257</v>
      </c>
      <c r="AC51" s="25"/>
      <c r="AD51" s="25"/>
      <c r="AE51" s="25"/>
      <c r="AF51" s="25" t="s">
        <v>342</v>
      </c>
      <c r="AG51" s="29"/>
      <c r="AH51" s="10" t="s">
        <v>52</v>
      </c>
      <c r="AI51" s="10"/>
      <c r="AJ51" s="10"/>
      <c r="AK51" s="10"/>
    </row>
    <row r="52" hidden="1">
      <c r="A52" s="10">
        <v>51.0</v>
      </c>
      <c r="B52" s="31">
        <v>44925.0</v>
      </c>
      <c r="C52" s="25">
        <v>0.0</v>
      </c>
      <c r="D52" s="12">
        <f t="shared" si="1"/>
        <v>0</v>
      </c>
      <c r="E52" s="12" t="s">
        <v>37</v>
      </c>
      <c r="F52" s="25"/>
      <c r="G52" s="26"/>
      <c r="H52" s="21"/>
      <c r="I52" s="27">
        <v>1.0</v>
      </c>
      <c r="J52" s="28"/>
      <c r="K52" s="22">
        <v>44957.0</v>
      </c>
      <c r="L52" s="23" t="s">
        <v>250</v>
      </c>
      <c r="M52" s="25" t="s">
        <v>343</v>
      </c>
      <c r="N52" s="25">
        <v>232479.0</v>
      </c>
      <c r="O52" s="25" t="s">
        <v>344</v>
      </c>
      <c r="P52" s="25">
        <v>8790.0</v>
      </c>
      <c r="Q52" s="12" t="s">
        <v>42</v>
      </c>
      <c r="R52" s="12" t="s">
        <v>105</v>
      </c>
      <c r="S52" s="32">
        <v>2100.0</v>
      </c>
      <c r="T52" s="25"/>
      <c r="U52" s="25" t="s">
        <v>345</v>
      </c>
      <c r="V52" s="29"/>
      <c r="W52" s="25" t="s">
        <v>346</v>
      </c>
      <c r="X52" s="25" t="s">
        <v>47</v>
      </c>
      <c r="Y52" s="25" t="s">
        <v>48</v>
      </c>
      <c r="Z52" s="25" t="s">
        <v>49</v>
      </c>
      <c r="AA52" s="25" t="s">
        <v>50</v>
      </c>
      <c r="AB52" s="25" t="s">
        <v>257</v>
      </c>
      <c r="AC52" s="25"/>
      <c r="AD52" s="25"/>
      <c r="AE52" s="25"/>
      <c r="AF52" s="25" t="s">
        <v>310</v>
      </c>
      <c r="AG52" s="29"/>
      <c r="AH52" s="10" t="s">
        <v>52</v>
      </c>
      <c r="AI52" s="10"/>
      <c r="AJ52" s="10"/>
      <c r="AK52" s="10"/>
    </row>
    <row r="53" hidden="1">
      <c r="A53" s="10">
        <v>52.0</v>
      </c>
      <c r="B53" s="31">
        <v>44925.0</v>
      </c>
      <c r="C53" s="25">
        <v>0.0</v>
      </c>
      <c r="D53" s="12">
        <f t="shared" si="1"/>
        <v>0</v>
      </c>
      <c r="E53" s="12" t="s">
        <v>37</v>
      </c>
      <c r="F53" s="25"/>
      <c r="G53" s="26"/>
      <c r="H53" s="21"/>
      <c r="I53" s="27">
        <v>1.0</v>
      </c>
      <c r="J53" s="28"/>
      <c r="K53" s="22">
        <v>44957.0</v>
      </c>
      <c r="L53" s="23" t="s">
        <v>250</v>
      </c>
      <c r="M53" s="25" t="s">
        <v>347</v>
      </c>
      <c r="N53" s="25">
        <v>232480.0</v>
      </c>
      <c r="O53" s="25">
        <v>22669.0</v>
      </c>
      <c r="P53" s="25">
        <v>8789.0</v>
      </c>
      <c r="Q53" s="12" t="s">
        <v>42</v>
      </c>
      <c r="R53" s="12" t="s">
        <v>105</v>
      </c>
      <c r="S53" s="32">
        <v>2100.0</v>
      </c>
      <c r="T53" s="25"/>
      <c r="U53" s="25" t="s">
        <v>348</v>
      </c>
      <c r="V53" s="29"/>
      <c r="W53" s="25" t="s">
        <v>349</v>
      </c>
      <c r="X53" s="25" t="s">
        <v>47</v>
      </c>
      <c r="Y53" s="25" t="s">
        <v>48</v>
      </c>
      <c r="Z53" s="25" t="s">
        <v>49</v>
      </c>
      <c r="AA53" s="25" t="s">
        <v>50</v>
      </c>
      <c r="AB53" s="25" t="s">
        <v>257</v>
      </c>
      <c r="AC53" s="25"/>
      <c r="AD53" s="25"/>
      <c r="AE53" s="25"/>
      <c r="AF53" s="25" t="s">
        <v>310</v>
      </c>
      <c r="AG53" s="29"/>
      <c r="AH53" s="10" t="s">
        <v>52</v>
      </c>
      <c r="AI53" s="10"/>
      <c r="AJ53" s="10"/>
      <c r="AK53" s="10"/>
    </row>
    <row r="54" hidden="1">
      <c r="A54" s="10">
        <v>53.0</v>
      </c>
      <c r="B54" s="31">
        <v>44890.0</v>
      </c>
      <c r="C54" s="25">
        <v>0.0</v>
      </c>
      <c r="D54" s="12">
        <f t="shared" si="1"/>
        <v>0</v>
      </c>
      <c r="E54" s="12" t="s">
        <v>37</v>
      </c>
      <c r="F54" s="29"/>
      <c r="G54" s="30"/>
      <c r="H54" s="39"/>
      <c r="I54" s="27">
        <v>1.0</v>
      </c>
      <c r="J54" s="28"/>
      <c r="K54" s="22">
        <v>44959.0</v>
      </c>
      <c r="L54" s="19" t="s">
        <v>38</v>
      </c>
      <c r="M54" s="25" t="s">
        <v>350</v>
      </c>
      <c r="N54" s="25" t="s">
        <v>351</v>
      </c>
      <c r="O54" s="25" t="s">
        <v>66</v>
      </c>
      <c r="P54" s="29"/>
      <c r="Q54" s="12" t="s">
        <v>67</v>
      </c>
      <c r="R54" s="12" t="s">
        <v>116</v>
      </c>
      <c r="S54" s="32">
        <v>2850.0</v>
      </c>
      <c r="T54" s="25"/>
      <c r="U54" s="25" t="s">
        <v>352</v>
      </c>
      <c r="V54" s="29"/>
      <c r="W54" s="25" t="s">
        <v>353</v>
      </c>
      <c r="X54" s="25" t="s">
        <v>47</v>
      </c>
      <c r="Y54" s="25" t="s">
        <v>120</v>
      </c>
      <c r="Z54" s="25" t="s">
        <v>49</v>
      </c>
      <c r="AA54" s="25" t="s">
        <v>50</v>
      </c>
      <c r="AB54" s="12" t="s">
        <v>114</v>
      </c>
      <c r="AC54" s="29"/>
      <c r="AD54" s="29"/>
      <c r="AE54" s="29"/>
      <c r="AF54" s="29"/>
      <c r="AG54" s="29"/>
      <c r="AH54" s="10" t="s">
        <v>52</v>
      </c>
      <c r="AI54" s="10"/>
      <c r="AJ54" s="10"/>
      <c r="AK54" s="10"/>
    </row>
    <row r="55" hidden="1">
      <c r="A55" s="10">
        <v>54.0</v>
      </c>
      <c r="B55" s="31">
        <v>44919.0</v>
      </c>
      <c r="C55" s="25">
        <v>0.0</v>
      </c>
      <c r="D55" s="12">
        <f t="shared" si="1"/>
        <v>0</v>
      </c>
      <c r="E55" s="12" t="s">
        <v>37</v>
      </c>
      <c r="F55" s="25"/>
      <c r="G55" s="26"/>
      <c r="H55" s="21"/>
      <c r="I55" s="27">
        <v>1.0</v>
      </c>
      <c r="J55" s="28"/>
      <c r="K55" s="22">
        <v>44963.0</v>
      </c>
      <c r="L55" s="19" t="s">
        <v>53</v>
      </c>
      <c r="M55" s="25" t="s">
        <v>121</v>
      </c>
      <c r="N55" s="25" t="s">
        <v>354</v>
      </c>
      <c r="O55" s="25" t="s">
        <v>66</v>
      </c>
      <c r="P55" s="25">
        <v>22043.0</v>
      </c>
      <c r="Q55" s="12" t="s">
        <v>129</v>
      </c>
      <c r="R55" s="12" t="s">
        <v>130</v>
      </c>
      <c r="S55" s="32">
        <v>4200.0</v>
      </c>
      <c r="T55" s="25"/>
      <c r="U55" s="25" t="s">
        <v>355</v>
      </c>
      <c r="V55" s="25" t="s">
        <v>356</v>
      </c>
      <c r="W55" s="25"/>
      <c r="X55" s="25" t="s">
        <v>47</v>
      </c>
      <c r="Y55" s="25" t="s">
        <v>48</v>
      </c>
      <c r="Z55" s="25" t="s">
        <v>61</v>
      </c>
      <c r="AA55" s="25" t="s">
        <v>62</v>
      </c>
      <c r="AB55" s="25" t="s">
        <v>114</v>
      </c>
      <c r="AC55" s="25"/>
      <c r="AD55" s="25"/>
      <c r="AE55" s="25"/>
      <c r="AF55" s="25"/>
      <c r="AG55" s="29"/>
      <c r="AH55" s="10" t="s">
        <v>52</v>
      </c>
      <c r="AI55" s="10"/>
      <c r="AJ55" s="10"/>
      <c r="AK55" s="10"/>
    </row>
    <row r="56" hidden="1">
      <c r="A56" s="10">
        <v>55.0</v>
      </c>
      <c r="B56" s="31">
        <v>44901.0</v>
      </c>
      <c r="C56" s="25">
        <v>0.0</v>
      </c>
      <c r="D56" s="12">
        <f t="shared" si="1"/>
        <v>0</v>
      </c>
      <c r="E56" s="12" t="s">
        <v>37</v>
      </c>
      <c r="F56" s="25"/>
      <c r="G56" s="26"/>
      <c r="H56" s="39"/>
      <c r="I56" s="27">
        <v>3.0</v>
      </c>
      <c r="J56" s="28"/>
      <c r="K56" s="22">
        <v>44964.0</v>
      </c>
      <c r="L56" s="23" t="s">
        <v>157</v>
      </c>
      <c r="M56" s="25" t="s">
        <v>357</v>
      </c>
      <c r="N56" s="25" t="s">
        <v>358</v>
      </c>
      <c r="O56" s="29"/>
      <c r="P56" s="29"/>
      <c r="Q56" s="25" t="s">
        <v>160</v>
      </c>
      <c r="R56" s="25" t="s">
        <v>161</v>
      </c>
      <c r="S56" s="25" t="s">
        <v>165</v>
      </c>
      <c r="T56" s="25"/>
      <c r="U56" s="25" t="s">
        <v>359</v>
      </c>
      <c r="V56" s="25" t="s">
        <v>360</v>
      </c>
      <c r="W56" s="29"/>
      <c r="X56" s="25" t="s">
        <v>47</v>
      </c>
      <c r="Y56" s="25" t="s">
        <v>48</v>
      </c>
      <c r="Z56" s="25" t="s">
        <v>92</v>
      </c>
      <c r="AA56" s="25" t="s">
        <v>72</v>
      </c>
      <c r="AB56" s="25" t="s">
        <v>165</v>
      </c>
      <c r="AC56" s="25"/>
      <c r="AD56" s="25"/>
      <c r="AE56" s="25"/>
      <c r="AF56" s="25" t="s">
        <v>361</v>
      </c>
      <c r="AG56" s="29"/>
      <c r="AH56" s="10" t="s">
        <v>52</v>
      </c>
      <c r="AI56" s="10"/>
      <c r="AJ56" s="10"/>
      <c r="AK56" s="10"/>
    </row>
    <row r="57" hidden="1">
      <c r="A57" s="10">
        <v>56.0</v>
      </c>
      <c r="B57" s="31">
        <v>44932.0</v>
      </c>
      <c r="C57" s="25">
        <v>0.0</v>
      </c>
      <c r="D57" s="12">
        <f t="shared" si="1"/>
        <v>0</v>
      </c>
      <c r="E57" s="12" t="s">
        <v>37</v>
      </c>
      <c r="F57" s="25"/>
      <c r="G57" s="26"/>
      <c r="H57" s="21"/>
      <c r="I57" s="27">
        <v>4.0</v>
      </c>
      <c r="J57" s="28"/>
      <c r="K57" s="22">
        <v>44968.0</v>
      </c>
      <c r="L57" s="19" t="s">
        <v>38</v>
      </c>
      <c r="M57" s="25" t="s">
        <v>362</v>
      </c>
      <c r="N57" s="25" t="s">
        <v>363</v>
      </c>
      <c r="O57" s="25" t="s">
        <v>364</v>
      </c>
      <c r="P57" s="29"/>
      <c r="Q57" s="12" t="s">
        <v>42</v>
      </c>
      <c r="R57" s="12" t="s">
        <v>43</v>
      </c>
      <c r="S57" s="32">
        <v>3180.0</v>
      </c>
      <c r="T57" s="25"/>
      <c r="U57" s="25" t="s">
        <v>365</v>
      </c>
      <c r="V57" s="29"/>
      <c r="W57" s="25" t="s">
        <v>366</v>
      </c>
      <c r="X57" s="25" t="s">
        <v>47</v>
      </c>
      <c r="Y57" s="25" t="s">
        <v>48</v>
      </c>
      <c r="Z57" s="25" t="s">
        <v>49</v>
      </c>
      <c r="AA57" s="25" t="s">
        <v>72</v>
      </c>
      <c r="AB57" s="25" t="s">
        <v>51</v>
      </c>
      <c r="AC57" s="25"/>
      <c r="AD57" s="25"/>
      <c r="AE57" s="25"/>
      <c r="AF57" s="25" t="s">
        <v>367</v>
      </c>
      <c r="AG57" s="29"/>
      <c r="AH57" s="10" t="s">
        <v>52</v>
      </c>
      <c r="AI57" s="10"/>
      <c r="AJ57" s="10"/>
      <c r="AK57" s="10"/>
    </row>
    <row r="58" hidden="1">
      <c r="A58" s="10">
        <v>57.0</v>
      </c>
      <c r="B58" s="31">
        <v>44912.0</v>
      </c>
      <c r="C58" s="25">
        <v>0.0</v>
      </c>
      <c r="D58" s="12">
        <f t="shared" si="1"/>
        <v>0</v>
      </c>
      <c r="E58" s="12" t="s">
        <v>37</v>
      </c>
      <c r="F58" s="25"/>
      <c r="G58" s="26"/>
      <c r="H58" s="21"/>
      <c r="I58" s="27">
        <v>1.0</v>
      </c>
      <c r="J58" s="28"/>
      <c r="K58" s="22">
        <v>44971.0</v>
      </c>
      <c r="L58" s="19" t="s">
        <v>38</v>
      </c>
      <c r="M58" s="25" t="s">
        <v>368</v>
      </c>
      <c r="N58" s="25" t="s">
        <v>369</v>
      </c>
      <c r="O58" s="25" t="s">
        <v>66</v>
      </c>
      <c r="P58" s="25">
        <v>12184.0</v>
      </c>
      <c r="Q58" s="25" t="s">
        <v>370</v>
      </c>
      <c r="R58" s="25" t="s">
        <v>371</v>
      </c>
      <c r="S58" s="32">
        <v>2050.0</v>
      </c>
      <c r="T58" s="25"/>
      <c r="U58" s="25" t="s">
        <v>372</v>
      </c>
      <c r="V58" s="29"/>
      <c r="W58" s="25" t="s">
        <v>373</v>
      </c>
      <c r="X58" s="25" t="s">
        <v>47</v>
      </c>
      <c r="Y58" s="25" t="s">
        <v>120</v>
      </c>
      <c r="Z58" s="25" t="s">
        <v>102</v>
      </c>
      <c r="AA58" s="25" t="s">
        <v>72</v>
      </c>
      <c r="AB58" s="25" t="s">
        <v>138</v>
      </c>
      <c r="AC58" s="25"/>
      <c r="AD58" s="25"/>
      <c r="AE58" s="25"/>
      <c r="AF58" s="25"/>
      <c r="AG58" s="29"/>
      <c r="AH58" s="10" t="s">
        <v>52</v>
      </c>
      <c r="AI58" s="10"/>
      <c r="AJ58" s="10"/>
      <c r="AK58" s="10"/>
    </row>
    <row r="59" hidden="1">
      <c r="A59" s="10">
        <v>58.0</v>
      </c>
      <c r="B59" s="31">
        <v>44928.0</v>
      </c>
      <c r="C59" s="25">
        <v>0.0</v>
      </c>
      <c r="D59" s="12">
        <f t="shared" si="1"/>
        <v>0</v>
      </c>
      <c r="E59" s="12" t="s">
        <v>37</v>
      </c>
      <c r="F59" s="29"/>
      <c r="G59" s="30"/>
      <c r="H59" s="21"/>
      <c r="I59" s="27">
        <v>4.0</v>
      </c>
      <c r="J59" s="28"/>
      <c r="K59" s="22">
        <v>44973.0</v>
      </c>
      <c r="L59" s="23" t="s">
        <v>157</v>
      </c>
      <c r="M59" s="25" t="s">
        <v>374</v>
      </c>
      <c r="N59" s="25" t="s">
        <v>375</v>
      </c>
      <c r="O59" s="25" t="s">
        <v>66</v>
      </c>
      <c r="P59" s="25">
        <v>13289.0</v>
      </c>
      <c r="Q59" s="25" t="s">
        <v>160</v>
      </c>
      <c r="R59" s="25" t="s">
        <v>161</v>
      </c>
      <c r="S59" s="25" t="s">
        <v>165</v>
      </c>
      <c r="T59" s="25"/>
      <c r="U59" s="25" t="s">
        <v>376</v>
      </c>
      <c r="V59" s="25" t="s">
        <v>377</v>
      </c>
      <c r="W59" s="29"/>
      <c r="X59" s="25" t="s">
        <v>47</v>
      </c>
      <c r="Y59" s="25" t="s">
        <v>48</v>
      </c>
      <c r="Z59" s="25" t="s">
        <v>92</v>
      </c>
      <c r="AA59" s="25" t="s">
        <v>72</v>
      </c>
      <c r="AB59" s="25" t="s">
        <v>165</v>
      </c>
      <c r="AC59" s="29"/>
      <c r="AD59" s="29"/>
      <c r="AE59" s="29"/>
      <c r="AF59" s="29"/>
      <c r="AG59" s="29"/>
      <c r="AH59" s="10" t="s">
        <v>52</v>
      </c>
      <c r="AI59" s="10"/>
      <c r="AJ59" s="10"/>
      <c r="AK59" s="10"/>
    </row>
    <row r="60" hidden="1">
      <c r="A60" s="10">
        <v>59.0</v>
      </c>
      <c r="B60" s="40">
        <v>47172.0</v>
      </c>
      <c r="C60" s="25">
        <v>0.0</v>
      </c>
      <c r="D60" s="12">
        <f t="shared" si="1"/>
        <v>0</v>
      </c>
      <c r="E60" s="12" t="s">
        <v>37</v>
      </c>
      <c r="F60" s="29"/>
      <c r="G60" s="30"/>
      <c r="H60" s="21"/>
      <c r="I60" s="27">
        <v>2.0</v>
      </c>
      <c r="J60" s="28"/>
      <c r="K60" s="22">
        <v>44975.0</v>
      </c>
      <c r="L60" s="23" t="s">
        <v>157</v>
      </c>
      <c r="M60" s="25" t="s">
        <v>378</v>
      </c>
      <c r="N60" s="25" t="s">
        <v>379</v>
      </c>
      <c r="O60" s="29"/>
      <c r="P60" s="25">
        <v>13283.0</v>
      </c>
      <c r="Q60" s="25" t="s">
        <v>160</v>
      </c>
      <c r="R60" s="25" t="s">
        <v>161</v>
      </c>
      <c r="S60" s="25" t="s">
        <v>165</v>
      </c>
      <c r="T60" s="25"/>
      <c r="U60" s="25" t="s">
        <v>380</v>
      </c>
      <c r="V60" s="25" t="s">
        <v>381</v>
      </c>
      <c r="W60" s="29"/>
      <c r="X60" s="25" t="s">
        <v>47</v>
      </c>
      <c r="Y60" s="25" t="s">
        <v>48</v>
      </c>
      <c r="Z60" s="25" t="s">
        <v>92</v>
      </c>
      <c r="AA60" s="25" t="s">
        <v>72</v>
      </c>
      <c r="AB60" s="25" t="s">
        <v>165</v>
      </c>
      <c r="AC60" s="29"/>
      <c r="AD60" s="29"/>
      <c r="AE60" s="29"/>
      <c r="AF60" s="29"/>
      <c r="AG60" s="29"/>
      <c r="AH60" s="10" t="s">
        <v>52</v>
      </c>
      <c r="AI60" s="10"/>
      <c r="AJ60" s="10"/>
      <c r="AK60" s="10"/>
    </row>
    <row r="61" hidden="1">
      <c r="A61" s="10">
        <v>60.0</v>
      </c>
      <c r="B61" s="31">
        <v>44936.0</v>
      </c>
      <c r="C61" s="25">
        <v>0.0</v>
      </c>
      <c r="D61" s="12">
        <f t="shared" si="1"/>
        <v>0</v>
      </c>
      <c r="E61" s="12" t="s">
        <v>37</v>
      </c>
      <c r="F61" s="25"/>
      <c r="G61" s="26"/>
      <c r="H61" s="21"/>
      <c r="I61" s="27">
        <v>1.0</v>
      </c>
      <c r="J61" s="28"/>
      <c r="K61" s="22">
        <v>44977.0</v>
      </c>
      <c r="L61" s="19" t="s">
        <v>53</v>
      </c>
      <c r="M61" s="25" t="s">
        <v>382</v>
      </c>
      <c r="N61" s="25" t="s">
        <v>383</v>
      </c>
      <c r="O61" s="25" t="s">
        <v>66</v>
      </c>
      <c r="P61" s="25">
        <v>15672.0</v>
      </c>
      <c r="Q61" s="12" t="s">
        <v>129</v>
      </c>
      <c r="R61" s="25" t="s">
        <v>297</v>
      </c>
      <c r="S61" s="32">
        <v>3863.0</v>
      </c>
      <c r="T61" s="25"/>
      <c r="U61" s="25" t="s">
        <v>384</v>
      </c>
      <c r="V61" s="25" t="s">
        <v>385</v>
      </c>
      <c r="W61" s="25" t="s">
        <v>386</v>
      </c>
      <c r="X61" s="25" t="s">
        <v>47</v>
      </c>
      <c r="Y61" s="25" t="s">
        <v>48</v>
      </c>
      <c r="Z61" s="25" t="s">
        <v>61</v>
      </c>
      <c r="AA61" s="25" t="s">
        <v>62</v>
      </c>
      <c r="AB61" s="25" t="s">
        <v>257</v>
      </c>
      <c r="AC61" s="25"/>
      <c r="AD61" s="25"/>
      <c r="AE61" s="25"/>
      <c r="AF61" s="25"/>
      <c r="AG61" s="29"/>
      <c r="AH61" s="10" t="s">
        <v>52</v>
      </c>
      <c r="AI61" s="10"/>
      <c r="AJ61" s="10"/>
      <c r="AK61" s="10"/>
    </row>
    <row r="62" hidden="1">
      <c r="A62" s="10">
        <v>61.0</v>
      </c>
      <c r="B62" s="31">
        <v>44938.0</v>
      </c>
      <c r="C62" s="25">
        <v>0.0</v>
      </c>
      <c r="D62" s="12">
        <f t="shared" si="1"/>
        <v>0</v>
      </c>
      <c r="E62" s="12" t="s">
        <v>37</v>
      </c>
      <c r="F62" s="25"/>
      <c r="G62" s="26"/>
      <c r="H62" s="21"/>
      <c r="I62" s="27">
        <v>3.0</v>
      </c>
      <c r="J62" s="28"/>
      <c r="K62" s="22">
        <v>44977.0</v>
      </c>
      <c r="L62" s="23" t="s">
        <v>250</v>
      </c>
      <c r="M62" s="25" t="s">
        <v>387</v>
      </c>
      <c r="N62" s="25">
        <v>232477.0</v>
      </c>
      <c r="O62" s="25" t="s">
        <v>388</v>
      </c>
      <c r="P62" s="25">
        <v>13273.0</v>
      </c>
      <c r="Q62" s="12" t="s">
        <v>42</v>
      </c>
      <c r="R62" s="12" t="s">
        <v>43</v>
      </c>
      <c r="S62" s="25" t="s">
        <v>389</v>
      </c>
      <c r="T62" s="25"/>
      <c r="U62" s="25" t="s">
        <v>390</v>
      </c>
      <c r="V62" s="25" t="s">
        <v>391</v>
      </c>
      <c r="W62" s="29"/>
      <c r="X62" s="25" t="s">
        <v>47</v>
      </c>
      <c r="Y62" s="25" t="s">
        <v>392</v>
      </c>
      <c r="Z62" s="25" t="s">
        <v>49</v>
      </c>
      <c r="AA62" s="25" t="s">
        <v>50</v>
      </c>
      <c r="AB62" s="25" t="s">
        <v>257</v>
      </c>
      <c r="AC62" s="25"/>
      <c r="AD62" s="25"/>
      <c r="AE62" s="25"/>
      <c r="AF62" s="25"/>
      <c r="AG62" s="29"/>
      <c r="AH62" s="10" t="s">
        <v>52</v>
      </c>
      <c r="AI62" s="10"/>
      <c r="AJ62" s="10"/>
      <c r="AK62" s="10"/>
    </row>
    <row r="63" hidden="1">
      <c r="A63" s="10">
        <v>62.0</v>
      </c>
      <c r="B63" s="31">
        <v>44918.0</v>
      </c>
      <c r="C63" s="25">
        <v>0.0</v>
      </c>
      <c r="D63" s="12">
        <f t="shared" si="1"/>
        <v>0</v>
      </c>
      <c r="E63" s="12" t="s">
        <v>37</v>
      </c>
      <c r="F63" s="25"/>
      <c r="G63" s="26"/>
      <c r="H63" s="21"/>
      <c r="I63" s="27">
        <v>1.0</v>
      </c>
      <c r="J63" s="28"/>
      <c r="K63" s="22">
        <v>44982.0</v>
      </c>
      <c r="L63" s="19" t="s">
        <v>53</v>
      </c>
      <c r="M63" s="25" t="s">
        <v>54</v>
      </c>
      <c r="N63" s="25" t="s">
        <v>393</v>
      </c>
      <c r="O63" s="25" t="s">
        <v>66</v>
      </c>
      <c r="P63" s="25">
        <v>16372.0</v>
      </c>
      <c r="Q63" s="12" t="s">
        <v>57</v>
      </c>
      <c r="R63" s="12" t="s">
        <v>58</v>
      </c>
      <c r="S63" s="32">
        <v>3300.0</v>
      </c>
      <c r="T63" s="25"/>
      <c r="U63" s="25" t="s">
        <v>394</v>
      </c>
      <c r="V63" s="25" t="s">
        <v>395</v>
      </c>
      <c r="W63" s="29"/>
      <c r="X63" s="25" t="s">
        <v>47</v>
      </c>
      <c r="Y63" s="25" t="s">
        <v>48</v>
      </c>
      <c r="Z63" s="25" t="s">
        <v>61</v>
      </c>
      <c r="AA63" s="25" t="s">
        <v>62</v>
      </c>
      <c r="AB63" s="12" t="s">
        <v>51</v>
      </c>
      <c r="AC63" s="25"/>
      <c r="AD63" s="25"/>
      <c r="AE63" s="25"/>
      <c r="AF63" s="25"/>
      <c r="AG63" s="29"/>
      <c r="AH63" s="10" t="s">
        <v>52</v>
      </c>
      <c r="AI63" s="10"/>
      <c r="AJ63" s="10"/>
      <c r="AK63" s="10"/>
    </row>
    <row r="64" hidden="1">
      <c r="A64" s="10">
        <v>63.0</v>
      </c>
      <c r="B64" s="38">
        <v>44962.0</v>
      </c>
      <c r="C64" s="25">
        <v>0.0</v>
      </c>
      <c r="D64" s="12">
        <f t="shared" si="1"/>
        <v>0</v>
      </c>
      <c r="E64" s="12" t="s">
        <v>37</v>
      </c>
      <c r="F64" s="25"/>
      <c r="G64" s="26"/>
      <c r="H64" s="21"/>
      <c r="I64" s="27">
        <v>1.0</v>
      </c>
      <c r="J64" s="28"/>
      <c r="K64" s="22">
        <v>44983.0</v>
      </c>
      <c r="L64" s="19" t="s">
        <v>53</v>
      </c>
      <c r="M64" s="25" t="s">
        <v>396</v>
      </c>
      <c r="N64" s="25" t="s">
        <v>397</v>
      </c>
      <c r="O64" s="25" t="s">
        <v>66</v>
      </c>
      <c r="P64" s="29"/>
      <c r="Q64" s="25" t="s">
        <v>398</v>
      </c>
      <c r="R64" s="25" t="s">
        <v>399</v>
      </c>
      <c r="S64" s="32">
        <v>810.0</v>
      </c>
      <c r="T64" s="25"/>
      <c r="U64" s="25" t="s">
        <v>400</v>
      </c>
      <c r="V64" s="25" t="s">
        <v>401</v>
      </c>
      <c r="W64" s="29"/>
      <c r="X64" s="25" t="s">
        <v>47</v>
      </c>
      <c r="Y64" s="25" t="s">
        <v>120</v>
      </c>
      <c r="Z64" s="25" t="s">
        <v>49</v>
      </c>
      <c r="AA64" s="25" t="s">
        <v>72</v>
      </c>
      <c r="AB64" s="25" t="s">
        <v>402</v>
      </c>
      <c r="AC64" s="25"/>
      <c r="AD64" s="25"/>
      <c r="AE64" s="25"/>
      <c r="AF64" s="25"/>
      <c r="AG64" s="29"/>
      <c r="AH64" s="10" t="s">
        <v>52</v>
      </c>
      <c r="AI64" s="10"/>
      <c r="AJ64" s="10"/>
      <c r="AK64" s="10"/>
    </row>
    <row r="65" hidden="1">
      <c r="A65" s="10">
        <v>64.0</v>
      </c>
      <c r="B65" s="31">
        <v>44945.0</v>
      </c>
      <c r="C65" s="25">
        <v>0.0</v>
      </c>
      <c r="D65" s="12">
        <f t="shared" si="1"/>
        <v>0</v>
      </c>
      <c r="E65" s="12" t="s">
        <v>37</v>
      </c>
      <c r="F65" s="25"/>
      <c r="G65" s="26"/>
      <c r="H65" s="21"/>
      <c r="I65" s="27">
        <v>1.0</v>
      </c>
      <c r="J65" s="28"/>
      <c r="K65" s="22">
        <v>44984.0</v>
      </c>
      <c r="L65" s="23" t="s">
        <v>403</v>
      </c>
      <c r="M65" s="25" t="s">
        <v>404</v>
      </c>
      <c r="N65" s="25" t="s">
        <v>405</v>
      </c>
      <c r="O65" s="25" t="s">
        <v>66</v>
      </c>
      <c r="P65" s="25">
        <v>19563.0</v>
      </c>
      <c r="Q65" s="12" t="s">
        <v>80</v>
      </c>
      <c r="R65" s="25" t="s">
        <v>406</v>
      </c>
      <c r="S65" s="25" t="s">
        <v>165</v>
      </c>
      <c r="T65" s="25"/>
      <c r="U65" s="25" t="s">
        <v>407</v>
      </c>
      <c r="V65" s="29"/>
      <c r="W65" s="25" t="s">
        <v>408</v>
      </c>
      <c r="X65" s="25" t="s">
        <v>47</v>
      </c>
      <c r="Y65" s="25" t="s">
        <v>48</v>
      </c>
      <c r="Z65" s="25" t="s">
        <v>102</v>
      </c>
      <c r="AA65" s="25" t="s">
        <v>72</v>
      </c>
      <c r="AB65" s="25" t="s">
        <v>409</v>
      </c>
      <c r="AC65" s="25"/>
      <c r="AD65" s="25"/>
      <c r="AE65" s="25">
        <v>3780.9</v>
      </c>
      <c r="AF65" s="25" t="s">
        <v>410</v>
      </c>
      <c r="AG65" s="29"/>
      <c r="AH65" s="10" t="s">
        <v>52</v>
      </c>
      <c r="AI65" s="10"/>
      <c r="AJ65" s="10"/>
      <c r="AK65" s="10"/>
    </row>
    <row r="66" hidden="1">
      <c r="A66" s="10">
        <v>65.0</v>
      </c>
      <c r="B66" s="31">
        <v>44923.0</v>
      </c>
      <c r="C66" s="25">
        <v>0.0</v>
      </c>
      <c r="D66" s="12">
        <f t="shared" si="1"/>
        <v>0</v>
      </c>
      <c r="E66" s="12" t="s">
        <v>37</v>
      </c>
      <c r="F66" s="25"/>
      <c r="G66" s="26"/>
      <c r="H66" s="21"/>
      <c r="I66" s="27">
        <v>1.0</v>
      </c>
      <c r="J66" s="28"/>
      <c r="K66" s="22">
        <v>44985.0</v>
      </c>
      <c r="L66" s="23" t="s">
        <v>86</v>
      </c>
      <c r="M66" s="25" t="s">
        <v>411</v>
      </c>
      <c r="N66" s="25">
        <v>502263.0</v>
      </c>
      <c r="O66" s="25" t="s">
        <v>66</v>
      </c>
      <c r="P66" s="29"/>
      <c r="Q66" s="12" t="s">
        <v>42</v>
      </c>
      <c r="R66" s="12" t="s">
        <v>105</v>
      </c>
      <c r="S66" s="25" t="s">
        <v>165</v>
      </c>
      <c r="T66" s="25"/>
      <c r="U66" s="25" t="s">
        <v>412</v>
      </c>
      <c r="V66" s="29"/>
      <c r="W66" s="25" t="s">
        <v>413</v>
      </c>
      <c r="X66" s="25" t="s">
        <v>47</v>
      </c>
      <c r="Y66" s="25" t="s">
        <v>48</v>
      </c>
      <c r="Z66" s="25" t="s">
        <v>92</v>
      </c>
      <c r="AA66" s="25" t="s">
        <v>62</v>
      </c>
      <c r="AB66" s="25" t="s">
        <v>165</v>
      </c>
      <c r="AC66" s="25"/>
      <c r="AD66" s="25"/>
      <c r="AE66" s="25"/>
      <c r="AF66" s="25"/>
      <c r="AG66" s="29"/>
      <c r="AH66" s="10" t="s">
        <v>52</v>
      </c>
      <c r="AI66" s="10"/>
      <c r="AJ66" s="10"/>
      <c r="AK66" s="10"/>
    </row>
    <row r="67" hidden="1">
      <c r="A67" s="10">
        <v>66.0</v>
      </c>
      <c r="B67" s="31">
        <v>44948.0</v>
      </c>
      <c r="C67" s="25">
        <v>0.0</v>
      </c>
      <c r="D67" s="12">
        <f t="shared" si="1"/>
        <v>0</v>
      </c>
      <c r="E67" s="12" t="s">
        <v>37</v>
      </c>
      <c r="F67" s="25"/>
      <c r="G67" s="26"/>
      <c r="H67" s="21"/>
      <c r="I67" s="27">
        <v>2.0</v>
      </c>
      <c r="J67" s="28"/>
      <c r="K67" s="22">
        <v>44985.0</v>
      </c>
      <c r="L67" s="19" t="s">
        <v>53</v>
      </c>
      <c r="M67" s="25" t="s">
        <v>414</v>
      </c>
      <c r="N67" s="25" t="s">
        <v>415</v>
      </c>
      <c r="O67" s="25" t="s">
        <v>66</v>
      </c>
      <c r="P67" s="25">
        <v>18555.0</v>
      </c>
      <c r="Q67" s="12" t="s">
        <v>67</v>
      </c>
      <c r="R67" s="25" t="s">
        <v>416</v>
      </c>
      <c r="S67" s="32">
        <v>1450.0</v>
      </c>
      <c r="T67" s="25"/>
      <c r="U67" s="25" t="s">
        <v>417</v>
      </c>
      <c r="V67" s="25" t="s">
        <v>418</v>
      </c>
      <c r="W67" s="25" t="s">
        <v>419</v>
      </c>
      <c r="X67" s="25" t="s">
        <v>47</v>
      </c>
      <c r="Y67" s="25" t="s">
        <v>48</v>
      </c>
      <c r="Z67" s="25" t="s">
        <v>49</v>
      </c>
      <c r="AA67" s="25" t="s">
        <v>72</v>
      </c>
      <c r="AB67" s="25" t="s">
        <v>257</v>
      </c>
      <c r="AC67" s="25"/>
      <c r="AD67" s="25"/>
      <c r="AE67" s="25"/>
      <c r="AF67" s="25"/>
      <c r="AG67" s="29"/>
      <c r="AH67" s="10" t="s">
        <v>52</v>
      </c>
      <c r="AI67" s="10"/>
      <c r="AJ67" s="10"/>
      <c r="AK67" s="10"/>
    </row>
    <row r="68" hidden="1">
      <c r="A68" s="10">
        <v>67.0</v>
      </c>
      <c r="B68" s="31">
        <v>44967.0</v>
      </c>
      <c r="C68" s="25">
        <v>0.0</v>
      </c>
      <c r="D68" s="12">
        <f t="shared" si="1"/>
        <v>0</v>
      </c>
      <c r="E68" s="12" t="s">
        <v>37</v>
      </c>
      <c r="F68" s="25"/>
      <c r="G68" s="26"/>
      <c r="H68" s="21"/>
      <c r="I68" s="27">
        <v>4.0</v>
      </c>
      <c r="J68" s="28"/>
      <c r="K68" s="22">
        <v>44985.0</v>
      </c>
      <c r="L68" s="19" t="s">
        <v>53</v>
      </c>
      <c r="M68" s="25" t="s">
        <v>420</v>
      </c>
      <c r="N68" s="25" t="s">
        <v>421</v>
      </c>
      <c r="O68" s="25" t="s">
        <v>66</v>
      </c>
      <c r="P68" s="25">
        <v>54411.0</v>
      </c>
      <c r="Q68" s="12" t="s">
        <v>129</v>
      </c>
      <c r="R68" s="12" t="s">
        <v>130</v>
      </c>
      <c r="S68" s="32">
        <v>2660.0</v>
      </c>
      <c r="T68" s="25"/>
      <c r="U68" s="25" t="s">
        <v>422</v>
      </c>
      <c r="V68" s="25" t="s">
        <v>423</v>
      </c>
      <c r="W68" s="29"/>
      <c r="X68" s="25" t="s">
        <v>47</v>
      </c>
      <c r="Y68" s="25" t="s">
        <v>48</v>
      </c>
      <c r="Z68" s="25" t="s">
        <v>61</v>
      </c>
      <c r="AA68" s="25" t="s">
        <v>72</v>
      </c>
      <c r="AB68" s="25" t="s">
        <v>257</v>
      </c>
      <c r="AC68" s="25"/>
      <c r="AD68" s="25"/>
      <c r="AE68" s="25"/>
      <c r="AF68" s="25" t="s">
        <v>424</v>
      </c>
      <c r="AG68" s="29"/>
      <c r="AH68" s="10" t="s">
        <v>52</v>
      </c>
      <c r="AI68" s="10"/>
      <c r="AJ68" s="10"/>
      <c r="AK68" s="10"/>
    </row>
    <row r="69" hidden="1">
      <c r="A69" s="10">
        <v>68.0</v>
      </c>
      <c r="B69" s="31">
        <v>44946.0</v>
      </c>
      <c r="C69" s="25">
        <v>0.0</v>
      </c>
      <c r="D69" s="12">
        <f t="shared" si="1"/>
        <v>0</v>
      </c>
      <c r="E69" s="12" t="s">
        <v>37</v>
      </c>
      <c r="F69" s="25"/>
      <c r="G69" s="26"/>
      <c r="H69" s="39"/>
      <c r="I69" s="27">
        <v>1.0</v>
      </c>
      <c r="J69" s="28"/>
      <c r="K69" s="22">
        <v>44986.0</v>
      </c>
      <c r="L69" s="19" t="s">
        <v>38</v>
      </c>
      <c r="M69" s="25" t="s">
        <v>425</v>
      </c>
      <c r="N69" s="25" t="s">
        <v>426</v>
      </c>
      <c r="O69" s="25" t="s">
        <v>427</v>
      </c>
      <c r="P69" s="25">
        <v>19880.0</v>
      </c>
      <c r="Q69" s="12" t="s">
        <v>67</v>
      </c>
      <c r="R69" s="25" t="s">
        <v>111</v>
      </c>
      <c r="S69" s="32">
        <v>1650.0</v>
      </c>
      <c r="T69" s="25"/>
      <c r="U69" s="25" t="s">
        <v>428</v>
      </c>
      <c r="V69" s="29"/>
      <c r="W69" s="25" t="s">
        <v>429</v>
      </c>
      <c r="X69" s="25" t="s">
        <v>47</v>
      </c>
      <c r="Y69" s="25" t="s">
        <v>120</v>
      </c>
      <c r="Z69" s="25" t="s">
        <v>49</v>
      </c>
      <c r="AA69" s="25" t="s">
        <v>72</v>
      </c>
      <c r="AB69" s="25" t="s">
        <v>138</v>
      </c>
      <c r="AC69" s="25"/>
      <c r="AD69" s="25"/>
      <c r="AE69" s="25"/>
      <c r="AF69" s="25" t="s">
        <v>430</v>
      </c>
      <c r="AG69" s="29"/>
      <c r="AH69" s="10" t="s">
        <v>52</v>
      </c>
      <c r="AI69" s="10"/>
      <c r="AJ69" s="10"/>
      <c r="AK69" s="10"/>
    </row>
    <row r="70" hidden="1">
      <c r="A70" s="10">
        <v>69.0</v>
      </c>
      <c r="B70" s="38">
        <v>44985.0</v>
      </c>
      <c r="C70" s="25">
        <v>0.0</v>
      </c>
      <c r="D70" s="12">
        <f t="shared" si="1"/>
        <v>0</v>
      </c>
      <c r="E70" s="25" t="s">
        <v>431</v>
      </c>
      <c r="F70" s="25"/>
      <c r="G70" s="26"/>
      <c r="H70" s="39"/>
      <c r="I70" s="27">
        <v>1.0</v>
      </c>
      <c r="J70" s="28"/>
      <c r="K70" s="22">
        <v>44987.0</v>
      </c>
      <c r="L70" s="23" t="s">
        <v>95</v>
      </c>
      <c r="M70" s="25" t="s">
        <v>432</v>
      </c>
      <c r="N70" s="25" t="s">
        <v>433</v>
      </c>
      <c r="O70" s="25" t="s">
        <v>66</v>
      </c>
      <c r="P70" s="29"/>
      <c r="Q70" s="12" t="s">
        <v>42</v>
      </c>
      <c r="R70" s="25" t="s">
        <v>334</v>
      </c>
      <c r="S70" s="29"/>
      <c r="T70" s="29"/>
      <c r="U70" s="29"/>
      <c r="V70" s="25" t="s">
        <v>434</v>
      </c>
      <c r="W70" s="29"/>
      <c r="X70" s="25" t="s">
        <v>90</v>
      </c>
      <c r="Y70" s="25" t="s">
        <v>435</v>
      </c>
      <c r="Z70" s="25" t="s">
        <v>92</v>
      </c>
      <c r="AA70" s="25" t="s">
        <v>72</v>
      </c>
      <c r="AB70" s="25" t="s">
        <v>436</v>
      </c>
      <c r="AC70" s="25"/>
      <c r="AD70" s="25"/>
      <c r="AE70" s="25"/>
      <c r="AF70" s="25" t="s">
        <v>437</v>
      </c>
      <c r="AG70" s="29"/>
      <c r="AH70" s="10" t="s">
        <v>52</v>
      </c>
      <c r="AI70" s="10"/>
      <c r="AJ70" s="10"/>
      <c r="AK70" s="10"/>
    </row>
    <row r="71" hidden="1">
      <c r="A71" s="10">
        <v>70.0</v>
      </c>
      <c r="B71" s="31">
        <v>44924.0</v>
      </c>
      <c r="C71" s="25">
        <v>0.0</v>
      </c>
      <c r="D71" s="12">
        <f t="shared" si="1"/>
        <v>0</v>
      </c>
      <c r="E71" s="12" t="s">
        <v>37</v>
      </c>
      <c r="F71" s="29"/>
      <c r="G71" s="30"/>
      <c r="H71" s="21"/>
      <c r="I71" s="27">
        <v>1.0</v>
      </c>
      <c r="J71" s="28"/>
      <c r="K71" s="22">
        <v>44989.0</v>
      </c>
      <c r="L71" s="23" t="s">
        <v>86</v>
      </c>
      <c r="M71" s="25" t="s">
        <v>438</v>
      </c>
      <c r="N71" s="25">
        <v>901981.0</v>
      </c>
      <c r="O71" s="25">
        <v>8042022.0</v>
      </c>
      <c r="P71" s="25">
        <v>20971.0</v>
      </c>
      <c r="Q71" s="12" t="s">
        <v>42</v>
      </c>
      <c r="R71" s="12" t="s">
        <v>105</v>
      </c>
      <c r="S71" s="25" t="s">
        <v>165</v>
      </c>
      <c r="T71" s="25"/>
      <c r="U71" s="25" t="s">
        <v>439</v>
      </c>
      <c r="V71" s="25" t="s">
        <v>440</v>
      </c>
      <c r="W71" s="29"/>
      <c r="X71" s="25" t="s">
        <v>47</v>
      </c>
      <c r="Y71" s="25" t="s">
        <v>120</v>
      </c>
      <c r="Z71" s="25" t="s">
        <v>92</v>
      </c>
      <c r="AA71" s="25" t="s">
        <v>50</v>
      </c>
      <c r="AB71" s="25" t="s">
        <v>165</v>
      </c>
      <c r="AC71" s="29"/>
      <c r="AD71" s="29"/>
      <c r="AE71" s="29"/>
      <c r="AF71" s="29"/>
      <c r="AG71" s="29"/>
      <c r="AH71" s="10" t="s">
        <v>52</v>
      </c>
      <c r="AI71" s="10"/>
      <c r="AJ71" s="10"/>
      <c r="AK71" s="10"/>
    </row>
    <row r="72" hidden="1">
      <c r="A72" s="10">
        <v>71.0</v>
      </c>
      <c r="B72" s="31">
        <v>44940.0</v>
      </c>
      <c r="C72" s="25">
        <v>0.0</v>
      </c>
      <c r="D72" s="12">
        <f t="shared" si="1"/>
        <v>0</v>
      </c>
      <c r="E72" s="12" t="s">
        <v>37</v>
      </c>
      <c r="F72" s="29"/>
      <c r="G72" s="30"/>
      <c r="H72" s="39"/>
      <c r="I72" s="27">
        <v>8.0</v>
      </c>
      <c r="J72" s="28"/>
      <c r="K72" s="22">
        <v>44990.0</v>
      </c>
      <c r="L72" s="23" t="s">
        <v>145</v>
      </c>
      <c r="M72" s="25" t="s">
        <v>441</v>
      </c>
      <c r="N72" s="25" t="s">
        <v>442</v>
      </c>
      <c r="O72" s="25" t="s">
        <v>66</v>
      </c>
      <c r="P72" s="25">
        <v>19569.0</v>
      </c>
      <c r="Q72" s="25" t="s">
        <v>148</v>
      </c>
      <c r="R72" s="25" t="s">
        <v>149</v>
      </c>
      <c r="S72" s="25" t="s">
        <v>165</v>
      </c>
      <c r="T72" s="25"/>
      <c r="U72" s="25" t="s">
        <v>443</v>
      </c>
      <c r="V72" s="25" t="s">
        <v>444</v>
      </c>
      <c r="W72" s="29"/>
      <c r="X72" s="25" t="s">
        <v>47</v>
      </c>
      <c r="Y72" s="25" t="s">
        <v>445</v>
      </c>
      <c r="Z72" s="25" t="s">
        <v>92</v>
      </c>
      <c r="AA72" s="25" t="s">
        <v>62</v>
      </c>
      <c r="AB72" s="25" t="s">
        <v>165</v>
      </c>
      <c r="AC72" s="29"/>
      <c r="AD72" s="29"/>
      <c r="AE72" s="29"/>
      <c r="AF72" s="29"/>
      <c r="AG72" s="29"/>
      <c r="AH72" s="10" t="s">
        <v>52</v>
      </c>
      <c r="AI72" s="10"/>
      <c r="AJ72" s="10"/>
      <c r="AK72" s="10"/>
    </row>
    <row r="73" hidden="1">
      <c r="A73" s="10">
        <v>72.0</v>
      </c>
      <c r="B73" s="31">
        <v>44949.0</v>
      </c>
      <c r="C73" s="25">
        <v>0.0</v>
      </c>
      <c r="D73" s="12">
        <f t="shared" si="1"/>
        <v>0</v>
      </c>
      <c r="E73" s="12" t="s">
        <v>37</v>
      </c>
      <c r="F73" s="29"/>
      <c r="G73" s="30"/>
      <c r="H73" s="39"/>
      <c r="I73" s="27">
        <v>1.0</v>
      </c>
      <c r="J73" s="28"/>
      <c r="K73" s="22">
        <v>44990.0</v>
      </c>
      <c r="L73" s="19" t="s">
        <v>53</v>
      </c>
      <c r="M73" s="25" t="s">
        <v>446</v>
      </c>
      <c r="N73" s="25" t="s">
        <v>447</v>
      </c>
      <c r="O73" s="25" t="s">
        <v>66</v>
      </c>
      <c r="P73" s="25">
        <v>19480.0</v>
      </c>
      <c r="Q73" s="12" t="s">
        <v>67</v>
      </c>
      <c r="R73" s="25" t="s">
        <v>416</v>
      </c>
      <c r="S73" s="32">
        <v>1450.0</v>
      </c>
      <c r="T73" s="25"/>
      <c r="U73" s="25" t="s">
        <v>448</v>
      </c>
      <c r="V73" s="25" t="s">
        <v>449</v>
      </c>
      <c r="W73" s="25" t="s">
        <v>450</v>
      </c>
      <c r="X73" s="25" t="s">
        <v>47</v>
      </c>
      <c r="Y73" s="25" t="s">
        <v>48</v>
      </c>
      <c r="Z73" s="25" t="s">
        <v>49</v>
      </c>
      <c r="AA73" s="25" t="s">
        <v>62</v>
      </c>
      <c r="AB73" s="25" t="s">
        <v>257</v>
      </c>
      <c r="AC73" s="29"/>
      <c r="AD73" s="29"/>
      <c r="AE73" s="29"/>
      <c r="AF73" s="29"/>
      <c r="AG73" s="29"/>
      <c r="AH73" s="10" t="s">
        <v>52</v>
      </c>
      <c r="AI73" s="10"/>
      <c r="AJ73" s="10"/>
      <c r="AK73" s="10"/>
    </row>
    <row r="74" hidden="1">
      <c r="A74" s="10">
        <v>73.0</v>
      </c>
      <c r="B74" s="31">
        <v>44924.0</v>
      </c>
      <c r="C74" s="25">
        <v>0.0</v>
      </c>
      <c r="D74" s="12">
        <f t="shared" si="1"/>
        <v>0</v>
      </c>
      <c r="E74" s="12" t="s">
        <v>37</v>
      </c>
      <c r="F74" s="29"/>
      <c r="G74" s="30"/>
      <c r="H74" s="39"/>
      <c r="I74" s="27">
        <v>1.0</v>
      </c>
      <c r="J74" s="28"/>
      <c r="K74" s="22">
        <v>44991.0</v>
      </c>
      <c r="L74" s="23" t="s">
        <v>86</v>
      </c>
      <c r="M74" s="25" t="s">
        <v>451</v>
      </c>
      <c r="N74" s="41">
        <v>901980.0</v>
      </c>
      <c r="O74" s="41" t="s">
        <v>452</v>
      </c>
      <c r="P74" s="25">
        <v>20951.0</v>
      </c>
      <c r="Q74" s="12" t="s">
        <v>42</v>
      </c>
      <c r="R74" s="12" t="s">
        <v>105</v>
      </c>
      <c r="S74" s="25" t="s">
        <v>165</v>
      </c>
      <c r="T74" s="25"/>
      <c r="U74" s="25" t="s">
        <v>453</v>
      </c>
      <c r="V74" s="25" t="s">
        <v>454</v>
      </c>
      <c r="W74" s="29"/>
      <c r="X74" s="25" t="s">
        <v>47</v>
      </c>
      <c r="Y74" s="25" t="s">
        <v>48</v>
      </c>
      <c r="Z74" s="25" t="s">
        <v>92</v>
      </c>
      <c r="AA74" s="25" t="s">
        <v>50</v>
      </c>
      <c r="AB74" s="25" t="s">
        <v>165</v>
      </c>
      <c r="AC74" s="29"/>
      <c r="AD74" s="29"/>
      <c r="AE74" s="29"/>
      <c r="AF74" s="29"/>
      <c r="AG74" s="29"/>
      <c r="AH74" s="10" t="s">
        <v>52</v>
      </c>
      <c r="AI74" s="10"/>
      <c r="AJ74" s="10"/>
      <c r="AK74" s="10"/>
    </row>
    <row r="75" hidden="1">
      <c r="A75" s="10">
        <v>74.0</v>
      </c>
      <c r="B75" s="31">
        <v>44934.0</v>
      </c>
      <c r="C75" s="25">
        <v>0.0</v>
      </c>
      <c r="D75" s="12">
        <f t="shared" si="1"/>
        <v>0</v>
      </c>
      <c r="E75" s="12" t="s">
        <v>37</v>
      </c>
      <c r="F75" s="25"/>
      <c r="G75" s="26"/>
      <c r="H75" s="39"/>
      <c r="I75" s="27">
        <v>1.0</v>
      </c>
      <c r="J75" s="28"/>
      <c r="K75" s="22">
        <v>44991.0</v>
      </c>
      <c r="L75" s="23" t="s">
        <v>242</v>
      </c>
      <c r="M75" s="25" t="s">
        <v>455</v>
      </c>
      <c r="N75" s="25">
        <v>8.0471361E7</v>
      </c>
      <c r="O75" s="25" t="s">
        <v>456</v>
      </c>
      <c r="P75" s="25">
        <v>21851.0</v>
      </c>
      <c r="Q75" s="25" t="s">
        <v>246</v>
      </c>
      <c r="R75" s="25" t="s">
        <v>247</v>
      </c>
      <c r="S75" s="32">
        <v>5500.0</v>
      </c>
      <c r="T75" s="25"/>
      <c r="U75" s="25" t="s">
        <v>457</v>
      </c>
      <c r="V75" s="25" t="s">
        <v>458</v>
      </c>
      <c r="W75" s="25" t="s">
        <v>459</v>
      </c>
      <c r="X75" s="25" t="s">
        <v>47</v>
      </c>
      <c r="Y75" s="25" t="s">
        <v>48</v>
      </c>
      <c r="Z75" s="25" t="s">
        <v>102</v>
      </c>
      <c r="AA75" s="25" t="s">
        <v>62</v>
      </c>
      <c r="AB75" s="25" t="s">
        <v>73</v>
      </c>
      <c r="AC75" s="25"/>
      <c r="AD75" s="25"/>
      <c r="AE75" s="25"/>
      <c r="AF75" s="25" t="s">
        <v>310</v>
      </c>
      <c r="AG75" s="29"/>
      <c r="AH75" s="10" t="s">
        <v>52</v>
      </c>
      <c r="AI75" s="10"/>
      <c r="AJ75" s="10"/>
      <c r="AK75" s="10"/>
    </row>
    <row r="76" hidden="1">
      <c r="A76" s="10">
        <v>75.0</v>
      </c>
      <c r="B76" s="31">
        <v>44953.0</v>
      </c>
      <c r="C76" s="25">
        <v>0.0</v>
      </c>
      <c r="D76" s="12">
        <f t="shared" si="1"/>
        <v>0</v>
      </c>
      <c r="E76" s="12" t="s">
        <v>37</v>
      </c>
      <c r="F76" s="25"/>
      <c r="G76" s="26"/>
      <c r="H76" s="39"/>
      <c r="I76" s="27">
        <v>1.0</v>
      </c>
      <c r="J76" s="28"/>
      <c r="K76" s="22">
        <v>44992.0</v>
      </c>
      <c r="L76" s="23" t="s">
        <v>145</v>
      </c>
      <c r="M76" s="25" t="s">
        <v>460</v>
      </c>
      <c r="N76" s="25">
        <v>2300191.0</v>
      </c>
      <c r="O76" s="25" t="s">
        <v>66</v>
      </c>
      <c r="P76" s="25">
        <v>21096.0</v>
      </c>
      <c r="Q76" s="25" t="s">
        <v>148</v>
      </c>
      <c r="R76" s="25" t="s">
        <v>149</v>
      </c>
      <c r="S76" s="32" t="s">
        <v>165</v>
      </c>
      <c r="T76" s="25"/>
      <c r="U76" s="25" t="s">
        <v>461</v>
      </c>
      <c r="V76" s="25" t="s">
        <v>462</v>
      </c>
      <c r="W76" s="29"/>
      <c r="X76" s="25" t="s">
        <v>47</v>
      </c>
      <c r="Y76" s="25" t="s">
        <v>48</v>
      </c>
      <c r="Z76" s="25" t="s">
        <v>92</v>
      </c>
      <c r="AA76" s="25" t="s">
        <v>62</v>
      </c>
      <c r="AB76" s="25" t="s">
        <v>165</v>
      </c>
      <c r="AC76" s="25"/>
      <c r="AD76" s="25"/>
      <c r="AE76" s="25"/>
      <c r="AF76" s="25"/>
      <c r="AG76" s="29"/>
      <c r="AH76" s="10" t="s">
        <v>52</v>
      </c>
      <c r="AI76" s="10"/>
      <c r="AJ76" s="10"/>
      <c r="AK76" s="10"/>
    </row>
    <row r="77" hidden="1">
      <c r="A77" s="10">
        <v>76.0</v>
      </c>
      <c r="B77" s="31">
        <v>44947.0</v>
      </c>
      <c r="C77" s="25">
        <v>0.0</v>
      </c>
      <c r="D77" s="12">
        <f t="shared" si="1"/>
        <v>0</v>
      </c>
      <c r="E77" s="12" t="s">
        <v>37</v>
      </c>
      <c r="F77" s="29"/>
      <c r="G77" s="30"/>
      <c r="H77" s="21"/>
      <c r="I77" s="27">
        <v>1.0</v>
      </c>
      <c r="J77" s="28"/>
      <c r="K77" s="22">
        <v>44993.0</v>
      </c>
      <c r="L77" s="23" t="s">
        <v>78</v>
      </c>
      <c r="M77" s="25" t="s">
        <v>463</v>
      </c>
      <c r="N77" s="25">
        <v>31.0</v>
      </c>
      <c r="O77" s="25" t="s">
        <v>66</v>
      </c>
      <c r="P77" s="25">
        <v>62476.0</v>
      </c>
      <c r="Q77" s="12" t="s">
        <v>80</v>
      </c>
      <c r="R77" s="12" t="s">
        <v>81</v>
      </c>
      <c r="S77" s="35">
        <v>1395.0</v>
      </c>
      <c r="T77" s="25"/>
      <c r="U77" s="25" t="s">
        <v>464</v>
      </c>
      <c r="V77" s="25" t="s">
        <v>465</v>
      </c>
      <c r="W77" s="29"/>
      <c r="X77" s="25" t="s">
        <v>47</v>
      </c>
      <c r="Y77" s="25" t="s">
        <v>48</v>
      </c>
      <c r="Z77" s="25" t="s">
        <v>49</v>
      </c>
      <c r="AA77" s="25" t="s">
        <v>62</v>
      </c>
      <c r="AB77" s="25" t="s">
        <v>402</v>
      </c>
      <c r="AC77" s="29"/>
      <c r="AD77" s="29"/>
      <c r="AE77" s="29"/>
      <c r="AF77" s="29"/>
      <c r="AG77" s="29"/>
      <c r="AH77" s="10" t="s">
        <v>52</v>
      </c>
      <c r="AI77" s="10"/>
      <c r="AJ77" s="10"/>
      <c r="AK77" s="10"/>
    </row>
    <row r="78" hidden="1">
      <c r="A78" s="10">
        <v>77.0</v>
      </c>
      <c r="B78" s="31">
        <v>44948.0</v>
      </c>
      <c r="C78" s="25">
        <v>0.0</v>
      </c>
      <c r="D78" s="12">
        <f t="shared" si="1"/>
        <v>0</v>
      </c>
      <c r="E78" s="12" t="s">
        <v>37</v>
      </c>
      <c r="F78" s="29"/>
      <c r="G78" s="30"/>
      <c r="H78" s="39"/>
      <c r="I78" s="27">
        <v>3.0</v>
      </c>
      <c r="J78" s="28"/>
      <c r="K78" s="22">
        <v>44994.0</v>
      </c>
      <c r="L78" s="19" t="s">
        <v>38</v>
      </c>
      <c r="M78" s="25" t="s">
        <v>466</v>
      </c>
      <c r="N78" s="25" t="s">
        <v>467</v>
      </c>
      <c r="O78" s="25" t="s">
        <v>66</v>
      </c>
      <c r="P78" s="25">
        <v>21876.0</v>
      </c>
      <c r="Q78" s="12" t="s">
        <v>42</v>
      </c>
      <c r="R78" s="12" t="s">
        <v>43</v>
      </c>
      <c r="S78" s="32">
        <v>2800.0</v>
      </c>
      <c r="T78" s="25"/>
      <c r="U78" s="25" t="s">
        <v>468</v>
      </c>
      <c r="V78" s="29"/>
      <c r="W78" s="25" t="s">
        <v>469</v>
      </c>
      <c r="X78" s="25" t="s">
        <v>47</v>
      </c>
      <c r="Y78" s="25" t="s">
        <v>48</v>
      </c>
      <c r="Z78" s="25" t="s">
        <v>49</v>
      </c>
      <c r="AA78" s="25" t="s">
        <v>50</v>
      </c>
      <c r="AB78" s="25" t="s">
        <v>470</v>
      </c>
      <c r="AC78" s="29"/>
      <c r="AD78" s="29"/>
      <c r="AE78" s="29"/>
      <c r="AF78" s="29"/>
      <c r="AG78" s="29"/>
      <c r="AH78" s="10" t="s">
        <v>52</v>
      </c>
      <c r="AI78" s="10"/>
      <c r="AJ78" s="10"/>
      <c r="AK78" s="10"/>
    </row>
    <row r="79" hidden="1">
      <c r="A79" s="10">
        <v>78.0</v>
      </c>
      <c r="B79" s="31">
        <v>44953.0</v>
      </c>
      <c r="C79" s="25">
        <v>0.0</v>
      </c>
      <c r="D79" s="12">
        <f t="shared" si="1"/>
        <v>0</v>
      </c>
      <c r="E79" s="12" t="s">
        <v>37</v>
      </c>
      <c r="F79" s="25"/>
      <c r="G79" s="26"/>
      <c r="H79" s="39"/>
      <c r="I79" s="27">
        <v>1.0</v>
      </c>
      <c r="J79" s="28"/>
      <c r="K79" s="22">
        <v>44994.0</v>
      </c>
      <c r="L79" s="23" t="s">
        <v>145</v>
      </c>
      <c r="M79" s="25" t="s">
        <v>460</v>
      </c>
      <c r="N79" s="25">
        <v>2300974.0</v>
      </c>
      <c r="O79" s="25" t="s">
        <v>66</v>
      </c>
      <c r="P79" s="25">
        <v>22818.0</v>
      </c>
      <c r="Q79" s="25" t="s">
        <v>148</v>
      </c>
      <c r="R79" s="25" t="s">
        <v>471</v>
      </c>
      <c r="S79" s="25" t="s">
        <v>165</v>
      </c>
      <c r="T79" s="25"/>
      <c r="U79" s="25" t="s">
        <v>472</v>
      </c>
      <c r="V79" s="25" t="s">
        <v>473</v>
      </c>
      <c r="W79" s="29"/>
      <c r="X79" s="25" t="s">
        <v>47</v>
      </c>
      <c r="Y79" s="25" t="s">
        <v>48</v>
      </c>
      <c r="Z79" s="25" t="s">
        <v>92</v>
      </c>
      <c r="AA79" s="25" t="s">
        <v>62</v>
      </c>
      <c r="AB79" s="25" t="s">
        <v>165</v>
      </c>
      <c r="AC79" s="25"/>
      <c r="AD79" s="25"/>
      <c r="AE79" s="25"/>
      <c r="AF79" s="25" t="s">
        <v>474</v>
      </c>
      <c r="AG79" s="29"/>
      <c r="AH79" s="10" t="s">
        <v>52</v>
      </c>
      <c r="AI79" s="10"/>
      <c r="AJ79" s="10"/>
      <c r="AK79" s="10"/>
    </row>
    <row r="80" hidden="1">
      <c r="A80" s="10">
        <v>79.0</v>
      </c>
      <c r="B80" s="31">
        <v>44965.0</v>
      </c>
      <c r="C80" s="25">
        <v>0.0</v>
      </c>
      <c r="D80" s="12">
        <f t="shared" si="1"/>
        <v>0</v>
      </c>
      <c r="E80" s="12" t="s">
        <v>37</v>
      </c>
      <c r="F80" s="25"/>
      <c r="G80" s="26"/>
      <c r="H80" s="21"/>
      <c r="I80" s="27">
        <v>4.0</v>
      </c>
      <c r="J80" s="28"/>
      <c r="K80" s="22">
        <v>44996.0</v>
      </c>
      <c r="L80" s="23" t="s">
        <v>475</v>
      </c>
      <c r="M80" s="25" t="s">
        <v>54</v>
      </c>
      <c r="N80" s="25" t="s">
        <v>476</v>
      </c>
      <c r="O80" s="25"/>
      <c r="P80" s="25">
        <v>56772.0</v>
      </c>
      <c r="Q80" s="25" t="s">
        <v>477</v>
      </c>
      <c r="R80" s="25" t="s">
        <v>478</v>
      </c>
      <c r="S80" s="32">
        <v>900.0</v>
      </c>
      <c r="T80" s="25"/>
      <c r="U80" s="25" t="s">
        <v>479</v>
      </c>
      <c r="V80" s="25" t="s">
        <v>480</v>
      </c>
      <c r="W80" s="25" t="s">
        <v>481</v>
      </c>
      <c r="X80" s="25" t="s">
        <v>47</v>
      </c>
      <c r="Y80" s="25" t="s">
        <v>48</v>
      </c>
      <c r="Z80" s="25" t="s">
        <v>102</v>
      </c>
      <c r="AA80" s="25" t="s">
        <v>62</v>
      </c>
      <c r="AB80" s="25" t="s">
        <v>138</v>
      </c>
      <c r="AC80" s="25"/>
      <c r="AD80" s="25"/>
      <c r="AE80" s="25"/>
      <c r="AF80" s="25" t="s">
        <v>482</v>
      </c>
      <c r="AG80" s="29"/>
      <c r="AH80" s="10" t="s">
        <v>52</v>
      </c>
      <c r="AI80" s="10"/>
      <c r="AJ80" s="10"/>
      <c r="AK80" s="10"/>
    </row>
    <row r="81" hidden="1">
      <c r="A81" s="10">
        <v>80.0</v>
      </c>
      <c r="B81" s="38">
        <v>44963.0</v>
      </c>
      <c r="C81" s="25">
        <v>0.0</v>
      </c>
      <c r="D81" s="12">
        <f t="shared" si="1"/>
        <v>0</v>
      </c>
      <c r="E81" s="12" t="s">
        <v>37</v>
      </c>
      <c r="F81" s="29"/>
      <c r="G81" s="30"/>
      <c r="H81" s="21"/>
      <c r="I81" s="27">
        <v>1.0</v>
      </c>
      <c r="J81" s="28"/>
      <c r="K81" s="22">
        <v>45005.0</v>
      </c>
      <c r="L81" s="19" t="s">
        <v>53</v>
      </c>
      <c r="M81" s="25" t="s">
        <v>483</v>
      </c>
      <c r="N81" s="25" t="s">
        <v>484</v>
      </c>
      <c r="O81" s="25" t="s">
        <v>66</v>
      </c>
      <c r="P81" s="25">
        <v>28505.0</v>
      </c>
      <c r="Q81" s="25" t="s">
        <v>485</v>
      </c>
      <c r="R81" s="25" t="s">
        <v>486</v>
      </c>
      <c r="S81" s="32">
        <v>1600.0</v>
      </c>
      <c r="T81" s="25"/>
      <c r="U81" s="25" t="s">
        <v>487</v>
      </c>
      <c r="V81" s="25" t="s">
        <v>488</v>
      </c>
      <c r="W81" s="29"/>
      <c r="X81" s="25" t="s">
        <v>47</v>
      </c>
      <c r="Y81" s="25" t="s">
        <v>120</v>
      </c>
      <c r="Z81" s="25" t="s">
        <v>49</v>
      </c>
      <c r="AA81" s="25" t="s">
        <v>72</v>
      </c>
      <c r="AB81" s="25" t="s">
        <v>257</v>
      </c>
      <c r="AC81" s="29"/>
      <c r="AD81" s="29"/>
      <c r="AE81" s="29"/>
      <c r="AF81" s="29"/>
      <c r="AG81" s="29"/>
      <c r="AH81" s="10" t="s">
        <v>52</v>
      </c>
      <c r="AI81" s="10"/>
      <c r="AJ81" s="10"/>
      <c r="AK81" s="10"/>
    </row>
    <row r="82" ht="20.25" hidden="1" customHeight="1">
      <c r="A82" s="10">
        <v>81.0</v>
      </c>
      <c r="B82" s="31">
        <v>44965.0</v>
      </c>
      <c r="C82" s="25">
        <v>0.0</v>
      </c>
      <c r="D82" s="12">
        <f t="shared" si="1"/>
        <v>0</v>
      </c>
      <c r="E82" s="12" t="s">
        <v>37</v>
      </c>
      <c r="F82" s="29"/>
      <c r="G82" s="30"/>
      <c r="H82" s="21"/>
      <c r="I82" s="27">
        <v>1.0</v>
      </c>
      <c r="J82" s="28"/>
      <c r="K82" s="22">
        <v>45005.0</v>
      </c>
      <c r="L82" s="19" t="s">
        <v>53</v>
      </c>
      <c r="M82" s="25" t="s">
        <v>489</v>
      </c>
      <c r="N82" s="25" t="s">
        <v>490</v>
      </c>
      <c r="O82" s="25" t="s">
        <v>66</v>
      </c>
      <c r="P82" s="25">
        <v>68054.0</v>
      </c>
      <c r="Q82" s="25" t="s">
        <v>160</v>
      </c>
      <c r="R82" s="25" t="s">
        <v>491</v>
      </c>
      <c r="S82" s="32">
        <v>2660.0</v>
      </c>
      <c r="T82" s="25"/>
      <c r="U82" s="25" t="s">
        <v>492</v>
      </c>
      <c r="V82" s="25" t="s">
        <v>493</v>
      </c>
      <c r="W82" s="29"/>
      <c r="X82" s="25" t="s">
        <v>47</v>
      </c>
      <c r="Y82" s="25" t="s">
        <v>48</v>
      </c>
      <c r="Z82" s="25" t="s">
        <v>102</v>
      </c>
      <c r="AA82" s="25" t="s">
        <v>72</v>
      </c>
      <c r="AB82" s="25" t="s">
        <v>257</v>
      </c>
      <c r="AC82" s="29"/>
      <c r="AD82" s="29"/>
      <c r="AE82" s="29"/>
      <c r="AF82" s="29"/>
      <c r="AG82" s="29"/>
      <c r="AH82" s="10" t="s">
        <v>52</v>
      </c>
      <c r="AI82" s="10"/>
      <c r="AJ82" s="10"/>
      <c r="AK82" s="10"/>
    </row>
    <row r="83" hidden="1">
      <c r="A83" s="10">
        <v>82.0</v>
      </c>
      <c r="B83" s="31">
        <v>44972.0</v>
      </c>
      <c r="C83" s="25">
        <v>0.0</v>
      </c>
      <c r="D83" s="12">
        <f t="shared" si="1"/>
        <v>0</v>
      </c>
      <c r="E83" s="12" t="s">
        <v>37</v>
      </c>
      <c r="F83" s="25"/>
      <c r="G83" s="26"/>
      <c r="H83" s="21"/>
      <c r="I83" s="27">
        <v>1.0</v>
      </c>
      <c r="J83" s="28"/>
      <c r="K83" s="22">
        <v>45005.0</v>
      </c>
      <c r="L83" s="19" t="s">
        <v>38</v>
      </c>
      <c r="M83" s="25" t="s">
        <v>494</v>
      </c>
      <c r="N83" s="25" t="s">
        <v>495</v>
      </c>
      <c r="O83" s="25" t="s">
        <v>496</v>
      </c>
      <c r="P83" s="25">
        <v>51142.0</v>
      </c>
      <c r="Q83" s="12" t="s">
        <v>67</v>
      </c>
      <c r="R83" s="25" t="s">
        <v>111</v>
      </c>
      <c r="S83" s="32">
        <v>2100.0</v>
      </c>
      <c r="T83" s="25"/>
      <c r="U83" s="25" t="s">
        <v>497</v>
      </c>
      <c r="V83" s="25" t="s">
        <v>498</v>
      </c>
      <c r="W83" s="29"/>
      <c r="X83" s="25" t="s">
        <v>47</v>
      </c>
      <c r="Y83" s="25" t="s">
        <v>48</v>
      </c>
      <c r="Z83" s="25" t="s">
        <v>49</v>
      </c>
      <c r="AA83" s="25" t="s">
        <v>72</v>
      </c>
      <c r="AB83" s="25" t="s">
        <v>114</v>
      </c>
      <c r="AC83" s="25"/>
      <c r="AD83" s="25"/>
      <c r="AE83" s="25"/>
      <c r="AF83" s="25" t="s">
        <v>499</v>
      </c>
      <c r="AG83" s="29"/>
      <c r="AH83" s="10" t="s">
        <v>52</v>
      </c>
      <c r="AI83" s="10"/>
      <c r="AJ83" s="10"/>
      <c r="AK83" s="10"/>
    </row>
    <row r="84" hidden="1">
      <c r="A84" s="10">
        <v>83.0</v>
      </c>
      <c r="B84" s="38">
        <v>44985.0</v>
      </c>
      <c r="C84" s="25">
        <v>0.0</v>
      </c>
      <c r="D84" s="12">
        <f t="shared" si="1"/>
        <v>0</v>
      </c>
      <c r="E84" s="25" t="s">
        <v>431</v>
      </c>
      <c r="F84" s="25"/>
      <c r="G84" s="26"/>
      <c r="H84" s="21"/>
      <c r="I84" s="27">
        <v>1.0</v>
      </c>
      <c r="J84" s="28"/>
      <c r="K84" s="22">
        <v>45005.0</v>
      </c>
      <c r="L84" s="23" t="s">
        <v>95</v>
      </c>
      <c r="M84" s="25" t="s">
        <v>500</v>
      </c>
      <c r="N84" s="25" t="s">
        <v>501</v>
      </c>
      <c r="O84" s="25" t="s">
        <v>66</v>
      </c>
      <c r="P84" s="29"/>
      <c r="Q84" s="12" t="s">
        <v>42</v>
      </c>
      <c r="R84" s="25" t="s">
        <v>334</v>
      </c>
      <c r="S84" s="29"/>
      <c r="T84" s="29"/>
      <c r="U84" s="29"/>
      <c r="V84" s="25" t="s">
        <v>502</v>
      </c>
      <c r="W84" s="29"/>
      <c r="X84" s="25" t="s">
        <v>90</v>
      </c>
      <c r="Y84" s="25" t="s">
        <v>435</v>
      </c>
      <c r="Z84" s="25" t="s">
        <v>92</v>
      </c>
      <c r="AA84" s="25" t="s">
        <v>72</v>
      </c>
      <c r="AB84" s="25" t="s">
        <v>436</v>
      </c>
      <c r="AC84" s="25"/>
      <c r="AD84" s="25"/>
      <c r="AE84" s="25"/>
      <c r="AF84" s="25" t="s">
        <v>437</v>
      </c>
      <c r="AG84" s="29"/>
      <c r="AH84" s="10" t="s">
        <v>52</v>
      </c>
      <c r="AI84" s="10"/>
      <c r="AJ84" s="10"/>
      <c r="AK84" s="10"/>
    </row>
    <row r="85" hidden="1">
      <c r="A85" s="10">
        <v>84.0</v>
      </c>
      <c r="B85" s="31">
        <v>44983.0</v>
      </c>
      <c r="C85" s="25">
        <v>0.0</v>
      </c>
      <c r="D85" s="12">
        <f t="shared" si="1"/>
        <v>0</v>
      </c>
      <c r="E85" s="12" t="s">
        <v>37</v>
      </c>
      <c r="F85" s="29"/>
      <c r="G85" s="30"/>
      <c r="H85" s="21"/>
      <c r="I85" s="27">
        <v>4.0</v>
      </c>
      <c r="J85" s="28"/>
      <c r="K85" s="22">
        <v>45007.0</v>
      </c>
      <c r="L85" s="23" t="s">
        <v>503</v>
      </c>
      <c r="M85" s="25" t="s">
        <v>504</v>
      </c>
      <c r="N85" s="25" t="s">
        <v>505</v>
      </c>
      <c r="O85" s="25" t="s">
        <v>66</v>
      </c>
      <c r="P85" s="25">
        <v>74745.0</v>
      </c>
      <c r="Q85" s="25" t="s">
        <v>148</v>
      </c>
      <c r="R85" s="25" t="s">
        <v>149</v>
      </c>
      <c r="S85" s="25" t="s">
        <v>165</v>
      </c>
      <c r="T85" s="25"/>
      <c r="U85" s="25" t="s">
        <v>506</v>
      </c>
      <c r="V85" s="29"/>
      <c r="W85" s="25" t="s">
        <v>507</v>
      </c>
      <c r="X85" s="25" t="s">
        <v>47</v>
      </c>
      <c r="Y85" s="25" t="s">
        <v>48</v>
      </c>
      <c r="Z85" s="25" t="s">
        <v>92</v>
      </c>
      <c r="AA85" s="25" t="s">
        <v>72</v>
      </c>
      <c r="AB85" s="25" t="s">
        <v>165</v>
      </c>
      <c r="AC85" s="29"/>
      <c r="AD85" s="29"/>
      <c r="AE85" s="29"/>
      <c r="AF85" s="29"/>
      <c r="AG85" s="29"/>
      <c r="AH85" s="10" t="s">
        <v>52</v>
      </c>
      <c r="AI85" s="10"/>
      <c r="AJ85" s="10"/>
      <c r="AK85" s="10"/>
    </row>
    <row r="86" hidden="1">
      <c r="A86" s="10">
        <v>85.0</v>
      </c>
      <c r="B86" s="31">
        <v>44998.0</v>
      </c>
      <c r="C86" s="25">
        <v>0.0</v>
      </c>
      <c r="D86" s="12">
        <f t="shared" si="1"/>
        <v>0</v>
      </c>
      <c r="E86" s="12" t="s">
        <v>37</v>
      </c>
      <c r="F86" s="25"/>
      <c r="G86" s="26"/>
      <c r="H86" s="21"/>
      <c r="I86" s="27">
        <v>2.0</v>
      </c>
      <c r="J86" s="28"/>
      <c r="K86" s="22">
        <v>45010.0</v>
      </c>
      <c r="L86" s="19" t="s">
        <v>38</v>
      </c>
      <c r="M86" s="25" t="s">
        <v>508</v>
      </c>
      <c r="N86" s="25" t="s">
        <v>509</v>
      </c>
      <c r="O86" s="25" t="s">
        <v>510</v>
      </c>
      <c r="P86" s="25">
        <v>79473.0</v>
      </c>
      <c r="Q86" s="25" t="s">
        <v>148</v>
      </c>
      <c r="R86" s="25" t="s">
        <v>511</v>
      </c>
      <c r="S86" s="32">
        <v>2300.0</v>
      </c>
      <c r="T86" s="25"/>
      <c r="U86" s="25" t="s">
        <v>512</v>
      </c>
      <c r="V86" s="25" t="s">
        <v>513</v>
      </c>
      <c r="W86" s="25" t="s">
        <v>514</v>
      </c>
      <c r="X86" s="25" t="s">
        <v>47</v>
      </c>
      <c r="Y86" s="25" t="s">
        <v>48</v>
      </c>
      <c r="Z86" s="25" t="s">
        <v>102</v>
      </c>
      <c r="AA86" s="25" t="s">
        <v>72</v>
      </c>
      <c r="AB86" s="25" t="s">
        <v>257</v>
      </c>
      <c r="AC86" s="25"/>
      <c r="AD86" s="25"/>
      <c r="AE86" s="25"/>
      <c r="AF86" s="25" t="s">
        <v>515</v>
      </c>
      <c r="AG86" s="29"/>
      <c r="AH86" s="10" t="s">
        <v>52</v>
      </c>
      <c r="AI86" s="10"/>
      <c r="AJ86" s="10"/>
      <c r="AK86" s="10"/>
    </row>
    <row r="87" hidden="1">
      <c r="A87" s="10">
        <v>86.0</v>
      </c>
      <c r="B87" s="31">
        <v>45006.0</v>
      </c>
      <c r="C87" s="25">
        <v>0.0</v>
      </c>
      <c r="D87" s="12">
        <f t="shared" si="1"/>
        <v>0</v>
      </c>
      <c r="E87" s="12" t="s">
        <v>37</v>
      </c>
      <c r="F87" s="29"/>
      <c r="G87" s="30"/>
      <c r="H87" s="21"/>
      <c r="I87" s="27">
        <v>14.0</v>
      </c>
      <c r="J87" s="28"/>
      <c r="K87" s="22">
        <v>45013.0</v>
      </c>
      <c r="L87" s="19" t="s">
        <v>53</v>
      </c>
      <c r="M87" s="25" t="s">
        <v>516</v>
      </c>
      <c r="N87" s="25" t="s">
        <v>517</v>
      </c>
      <c r="O87" s="25" t="s">
        <v>518</v>
      </c>
      <c r="P87" s="25">
        <v>513642.0</v>
      </c>
      <c r="Q87" s="12" t="s">
        <v>67</v>
      </c>
      <c r="R87" s="25" t="s">
        <v>111</v>
      </c>
      <c r="S87" s="32">
        <v>744.0</v>
      </c>
      <c r="T87" s="29"/>
      <c r="U87" s="29"/>
      <c r="V87" s="25" t="s">
        <v>519</v>
      </c>
      <c r="W87" s="29"/>
      <c r="X87" s="25" t="s">
        <v>90</v>
      </c>
      <c r="Y87" s="25" t="s">
        <v>520</v>
      </c>
      <c r="Z87" s="25" t="s">
        <v>102</v>
      </c>
      <c r="AA87" s="25" t="s">
        <v>72</v>
      </c>
      <c r="AB87" s="25" t="s">
        <v>114</v>
      </c>
      <c r="AC87" s="29"/>
      <c r="AD87" s="29"/>
      <c r="AE87" s="29"/>
      <c r="AF87" s="29"/>
      <c r="AG87" s="29"/>
      <c r="AH87" s="10" t="s">
        <v>52</v>
      </c>
      <c r="AI87" s="10"/>
      <c r="AJ87" s="10"/>
      <c r="AK87" s="10"/>
    </row>
    <row r="88" hidden="1">
      <c r="A88" s="10">
        <v>87.0</v>
      </c>
      <c r="B88" s="31">
        <v>44972.0</v>
      </c>
      <c r="C88" s="25">
        <v>0.0</v>
      </c>
      <c r="D88" s="12">
        <f t="shared" si="1"/>
        <v>0</v>
      </c>
      <c r="E88" s="12" t="s">
        <v>37</v>
      </c>
      <c r="F88" s="29"/>
      <c r="G88" s="30"/>
      <c r="H88" s="21"/>
      <c r="I88" s="27">
        <v>1.0</v>
      </c>
      <c r="J88" s="28"/>
      <c r="K88" s="22">
        <v>45014.0</v>
      </c>
      <c r="L88" s="23" t="s">
        <v>86</v>
      </c>
      <c r="M88" s="25" t="s">
        <v>521</v>
      </c>
      <c r="N88" s="25">
        <v>502260.0</v>
      </c>
      <c r="O88" s="25" t="s">
        <v>238</v>
      </c>
      <c r="P88" s="25">
        <v>26315.0</v>
      </c>
      <c r="Q88" s="12" t="s">
        <v>42</v>
      </c>
      <c r="R88" s="12" t="s">
        <v>43</v>
      </c>
      <c r="S88" s="29"/>
      <c r="T88" s="25"/>
      <c r="U88" s="25" t="s">
        <v>522</v>
      </c>
      <c r="V88" s="25" t="s">
        <v>523</v>
      </c>
      <c r="W88" s="29"/>
      <c r="X88" s="25" t="s">
        <v>47</v>
      </c>
      <c r="Y88" s="25" t="s">
        <v>48</v>
      </c>
      <c r="Z88" s="25" t="s">
        <v>524</v>
      </c>
      <c r="AA88" s="25" t="s">
        <v>72</v>
      </c>
      <c r="AB88" s="25" t="s">
        <v>165</v>
      </c>
      <c r="AC88" s="29"/>
      <c r="AD88" s="29"/>
      <c r="AE88" s="29"/>
      <c r="AF88" s="29"/>
      <c r="AG88" s="29"/>
      <c r="AH88" s="10" t="s">
        <v>52</v>
      </c>
      <c r="AI88" s="10"/>
      <c r="AJ88" s="10"/>
      <c r="AK88" s="10"/>
    </row>
    <row r="89" hidden="1">
      <c r="A89" s="10">
        <v>88.0</v>
      </c>
      <c r="B89" s="31">
        <v>44972.0</v>
      </c>
      <c r="C89" s="25">
        <v>0.0</v>
      </c>
      <c r="D89" s="12">
        <f t="shared" si="1"/>
        <v>0</v>
      </c>
      <c r="E89" s="12" t="s">
        <v>37</v>
      </c>
      <c r="F89" s="25"/>
      <c r="G89" s="26"/>
      <c r="H89" s="21"/>
      <c r="I89" s="27">
        <v>1.0</v>
      </c>
      <c r="J89" s="28"/>
      <c r="K89" s="22">
        <v>45014.0</v>
      </c>
      <c r="L89" s="23" t="s">
        <v>86</v>
      </c>
      <c r="M89" s="25" t="s">
        <v>525</v>
      </c>
      <c r="N89" s="25">
        <v>502259.0</v>
      </c>
      <c r="O89" s="25" t="s">
        <v>230</v>
      </c>
      <c r="P89" s="25">
        <v>26322.0</v>
      </c>
      <c r="Q89" s="12" t="s">
        <v>42</v>
      </c>
      <c r="R89" s="12" t="s">
        <v>43</v>
      </c>
      <c r="S89" s="29"/>
      <c r="T89" s="25"/>
      <c r="U89" s="25" t="s">
        <v>526</v>
      </c>
      <c r="V89" s="25" t="s">
        <v>527</v>
      </c>
      <c r="W89" s="29"/>
      <c r="X89" s="25" t="s">
        <v>47</v>
      </c>
      <c r="Y89" s="25" t="s">
        <v>48</v>
      </c>
      <c r="Z89" s="25" t="s">
        <v>524</v>
      </c>
      <c r="AA89" s="25" t="s">
        <v>72</v>
      </c>
      <c r="AB89" s="25" t="s">
        <v>165</v>
      </c>
      <c r="AC89" s="25"/>
      <c r="AD89" s="25"/>
      <c r="AE89" s="25"/>
      <c r="AF89" s="25"/>
      <c r="AG89" s="29"/>
      <c r="AH89" s="10" t="s">
        <v>52</v>
      </c>
      <c r="AI89" s="10"/>
      <c r="AJ89" s="10"/>
      <c r="AK89" s="10"/>
    </row>
    <row r="90" hidden="1">
      <c r="A90" s="10">
        <v>89.0</v>
      </c>
      <c r="B90" s="31">
        <v>44972.0</v>
      </c>
      <c r="C90" s="25">
        <v>0.0</v>
      </c>
      <c r="D90" s="12">
        <f t="shared" si="1"/>
        <v>0</v>
      </c>
      <c r="E90" s="12" t="s">
        <v>37</v>
      </c>
      <c r="F90" s="25"/>
      <c r="G90" s="26"/>
      <c r="H90" s="21"/>
      <c r="I90" s="27">
        <v>1.0</v>
      </c>
      <c r="J90" s="28"/>
      <c r="K90" s="22">
        <v>45014.0</v>
      </c>
      <c r="L90" s="23" t="s">
        <v>86</v>
      </c>
      <c r="M90" s="25" t="s">
        <v>528</v>
      </c>
      <c r="N90" s="25">
        <v>502262.0</v>
      </c>
      <c r="O90" s="25" t="s">
        <v>221</v>
      </c>
      <c r="P90" s="25">
        <v>26327.0</v>
      </c>
      <c r="Q90" s="12" t="s">
        <v>42</v>
      </c>
      <c r="R90" s="12" t="s">
        <v>43</v>
      </c>
      <c r="S90" s="29"/>
      <c r="T90" s="25"/>
      <c r="U90" s="25" t="s">
        <v>529</v>
      </c>
      <c r="V90" s="25" t="s">
        <v>530</v>
      </c>
      <c r="W90" s="29"/>
      <c r="X90" s="25" t="s">
        <v>47</v>
      </c>
      <c r="Y90" s="25" t="s">
        <v>48</v>
      </c>
      <c r="Z90" s="25" t="s">
        <v>524</v>
      </c>
      <c r="AA90" s="25" t="s">
        <v>72</v>
      </c>
      <c r="AB90" s="25" t="s">
        <v>165</v>
      </c>
      <c r="AC90" s="25"/>
      <c r="AD90" s="25"/>
      <c r="AE90" s="25"/>
      <c r="AF90" s="25"/>
      <c r="AG90" s="29"/>
      <c r="AH90" s="10" t="s">
        <v>52</v>
      </c>
      <c r="AI90" s="10"/>
      <c r="AJ90" s="10"/>
      <c r="AK90" s="10"/>
    </row>
    <row r="91" hidden="1">
      <c r="A91" s="10">
        <v>90.0</v>
      </c>
      <c r="B91" s="31">
        <v>44972.0</v>
      </c>
      <c r="C91" s="25">
        <v>0.0</v>
      </c>
      <c r="D91" s="12">
        <f t="shared" si="1"/>
        <v>0</v>
      </c>
      <c r="E91" s="12" t="s">
        <v>37</v>
      </c>
      <c r="F91" s="25"/>
      <c r="G91" s="26"/>
      <c r="H91" s="21"/>
      <c r="I91" s="27">
        <v>1.0</v>
      </c>
      <c r="J91" s="28"/>
      <c r="K91" s="22">
        <v>45014.0</v>
      </c>
      <c r="L91" s="23" t="s">
        <v>86</v>
      </c>
      <c r="M91" s="42" t="s">
        <v>531</v>
      </c>
      <c r="N91" s="25">
        <v>502261.0</v>
      </c>
      <c r="O91" s="25" t="s">
        <v>532</v>
      </c>
      <c r="P91" s="25">
        <v>26332.0</v>
      </c>
      <c r="Q91" s="12" t="s">
        <v>42</v>
      </c>
      <c r="R91" s="12" t="s">
        <v>43</v>
      </c>
      <c r="S91" s="29"/>
      <c r="T91" s="25"/>
      <c r="U91" s="25" t="s">
        <v>533</v>
      </c>
      <c r="V91" s="25" t="s">
        <v>534</v>
      </c>
      <c r="W91" s="29"/>
      <c r="X91" s="25" t="s">
        <v>47</v>
      </c>
      <c r="Y91" s="25" t="s">
        <v>48</v>
      </c>
      <c r="Z91" s="25" t="s">
        <v>524</v>
      </c>
      <c r="AA91" s="25" t="s">
        <v>72</v>
      </c>
      <c r="AB91" s="25" t="s">
        <v>165</v>
      </c>
      <c r="AC91" s="25"/>
      <c r="AD91" s="25"/>
      <c r="AE91" s="25"/>
      <c r="AF91" s="25"/>
      <c r="AG91" s="29"/>
      <c r="AH91" s="10" t="s">
        <v>52</v>
      </c>
      <c r="AI91" s="10"/>
      <c r="AJ91" s="10"/>
      <c r="AK91" s="10"/>
    </row>
    <row r="92" hidden="1">
      <c r="A92" s="10">
        <v>91.0</v>
      </c>
      <c r="B92" s="31">
        <v>44972.0</v>
      </c>
      <c r="C92" s="25">
        <v>0.0</v>
      </c>
      <c r="D92" s="12">
        <f t="shared" si="1"/>
        <v>0</v>
      </c>
      <c r="E92" s="12" t="s">
        <v>37</v>
      </c>
      <c r="F92" s="25"/>
      <c r="G92" s="26"/>
      <c r="H92" s="21"/>
      <c r="I92" s="27">
        <v>1.0</v>
      </c>
      <c r="J92" s="28"/>
      <c r="K92" s="22">
        <v>45014.0</v>
      </c>
      <c r="L92" s="23" t="s">
        <v>86</v>
      </c>
      <c r="M92" s="25"/>
      <c r="N92" s="25">
        <v>502258.0</v>
      </c>
      <c r="O92" s="25" t="s">
        <v>535</v>
      </c>
      <c r="P92" s="25">
        <v>26337.0</v>
      </c>
      <c r="Q92" s="12" t="s">
        <v>42</v>
      </c>
      <c r="R92" s="12" t="s">
        <v>43</v>
      </c>
      <c r="S92" s="29"/>
      <c r="T92" s="25"/>
      <c r="U92" s="25" t="s">
        <v>536</v>
      </c>
      <c r="V92" s="25" t="s">
        <v>537</v>
      </c>
      <c r="W92" s="29"/>
      <c r="X92" s="25" t="s">
        <v>47</v>
      </c>
      <c r="Y92" s="25" t="s">
        <v>120</v>
      </c>
      <c r="Z92" s="25" t="s">
        <v>524</v>
      </c>
      <c r="AA92" s="25" t="s">
        <v>72</v>
      </c>
      <c r="AB92" s="25" t="s">
        <v>165</v>
      </c>
      <c r="AC92" s="25"/>
      <c r="AD92" s="25"/>
      <c r="AE92" s="25"/>
      <c r="AF92" s="25"/>
      <c r="AG92" s="29"/>
      <c r="AH92" s="10" t="s">
        <v>52</v>
      </c>
      <c r="AI92" s="10"/>
      <c r="AJ92" s="10"/>
      <c r="AK92" s="10"/>
    </row>
    <row r="93" hidden="1">
      <c r="A93" s="10">
        <v>92.0</v>
      </c>
      <c r="B93" s="31">
        <v>44972.0</v>
      </c>
      <c r="C93" s="25">
        <v>0.0</v>
      </c>
      <c r="D93" s="12">
        <f t="shared" si="1"/>
        <v>0</v>
      </c>
      <c r="E93" s="12" t="s">
        <v>37</v>
      </c>
      <c r="F93" s="25"/>
      <c r="G93" s="26"/>
      <c r="H93" s="21"/>
      <c r="I93" s="27">
        <v>1.0</v>
      </c>
      <c r="J93" s="28"/>
      <c r="K93" s="22">
        <v>45015.0</v>
      </c>
      <c r="L93" s="23" t="s">
        <v>86</v>
      </c>
      <c r="M93" s="25"/>
      <c r="N93" s="25">
        <v>502264.0</v>
      </c>
      <c r="O93" s="25" t="s">
        <v>535</v>
      </c>
      <c r="P93" s="25">
        <v>26319.0</v>
      </c>
      <c r="Q93" s="12" t="s">
        <v>42</v>
      </c>
      <c r="R93" s="12" t="s">
        <v>43</v>
      </c>
      <c r="S93" s="29"/>
      <c r="T93" s="25"/>
      <c r="U93" s="25" t="s">
        <v>538</v>
      </c>
      <c r="V93" s="25" t="s">
        <v>539</v>
      </c>
      <c r="W93" s="29"/>
      <c r="X93" s="25" t="s">
        <v>47</v>
      </c>
      <c r="Y93" s="25" t="s">
        <v>120</v>
      </c>
      <c r="Z93" s="25" t="s">
        <v>524</v>
      </c>
      <c r="AA93" s="25" t="s">
        <v>72</v>
      </c>
      <c r="AB93" s="25" t="s">
        <v>165</v>
      </c>
      <c r="AC93" s="25"/>
      <c r="AD93" s="25"/>
      <c r="AE93" s="25"/>
      <c r="AF93" s="25"/>
      <c r="AG93" s="29"/>
      <c r="AH93" s="10" t="s">
        <v>52</v>
      </c>
      <c r="AI93" s="10"/>
      <c r="AJ93" s="10"/>
      <c r="AK93" s="10"/>
    </row>
    <row r="94" hidden="1">
      <c r="A94" s="10">
        <v>93.0</v>
      </c>
      <c r="B94" s="31">
        <v>44973.0</v>
      </c>
      <c r="C94" s="25">
        <v>0.0</v>
      </c>
      <c r="D94" s="12">
        <f t="shared" si="1"/>
        <v>0</v>
      </c>
      <c r="E94" s="12" t="s">
        <v>37</v>
      </c>
      <c r="F94" s="25"/>
      <c r="G94" s="26"/>
      <c r="H94" s="21"/>
      <c r="I94" s="27">
        <v>1.0</v>
      </c>
      <c r="J94" s="28"/>
      <c r="K94" s="22">
        <v>45020.0</v>
      </c>
      <c r="L94" s="19" t="s">
        <v>38</v>
      </c>
      <c r="M94" s="25" t="s">
        <v>540</v>
      </c>
      <c r="N94" s="25" t="s">
        <v>541</v>
      </c>
      <c r="O94" s="25" t="s">
        <v>427</v>
      </c>
      <c r="P94" s="25">
        <v>29109.0</v>
      </c>
      <c r="Q94" s="12" t="s">
        <v>67</v>
      </c>
      <c r="R94" s="25" t="s">
        <v>542</v>
      </c>
      <c r="S94" s="32">
        <v>1780.0</v>
      </c>
      <c r="T94" s="25"/>
      <c r="U94" s="25" t="s">
        <v>543</v>
      </c>
      <c r="V94" s="25" t="s">
        <v>544</v>
      </c>
      <c r="W94" s="29"/>
      <c r="X94" s="25" t="s">
        <v>47</v>
      </c>
      <c r="Y94" s="25" t="s">
        <v>120</v>
      </c>
      <c r="Z94" s="25" t="s">
        <v>49</v>
      </c>
      <c r="AA94" s="25" t="s">
        <v>72</v>
      </c>
      <c r="AB94" s="25" t="s">
        <v>545</v>
      </c>
      <c r="AC94" s="25"/>
      <c r="AD94" s="25"/>
      <c r="AE94" s="25"/>
      <c r="AF94" s="25" t="s">
        <v>546</v>
      </c>
      <c r="AG94" s="29"/>
      <c r="AH94" s="10" t="s">
        <v>52</v>
      </c>
      <c r="AI94" s="10"/>
      <c r="AJ94" s="10"/>
      <c r="AK94" s="10"/>
    </row>
    <row r="95" hidden="1">
      <c r="A95" s="10">
        <v>94.0</v>
      </c>
      <c r="B95" s="31">
        <v>44993.0</v>
      </c>
      <c r="C95" s="25">
        <v>0.0</v>
      </c>
      <c r="D95" s="12">
        <f t="shared" si="1"/>
        <v>0</v>
      </c>
      <c r="E95" s="12" t="s">
        <v>37</v>
      </c>
      <c r="F95" s="25"/>
      <c r="G95" s="26"/>
      <c r="H95" s="21"/>
      <c r="I95" s="27">
        <v>3.0</v>
      </c>
      <c r="J95" s="28"/>
      <c r="K95" s="22">
        <v>45027.0</v>
      </c>
      <c r="L95" s="23" t="s">
        <v>503</v>
      </c>
      <c r="M95" s="25" t="s">
        <v>547</v>
      </c>
      <c r="N95" s="25" t="s">
        <v>548</v>
      </c>
      <c r="O95" s="25" t="s">
        <v>66</v>
      </c>
      <c r="P95" s="25">
        <v>88163.0</v>
      </c>
      <c r="Q95" s="25" t="s">
        <v>171</v>
      </c>
      <c r="R95" s="25" t="s">
        <v>549</v>
      </c>
      <c r="S95" s="25" t="s">
        <v>165</v>
      </c>
      <c r="T95" s="25"/>
      <c r="U95" s="25" t="s">
        <v>550</v>
      </c>
      <c r="V95" s="29"/>
      <c r="W95" s="25" t="s">
        <v>551</v>
      </c>
      <c r="X95" s="25" t="s">
        <v>47</v>
      </c>
      <c r="Y95" s="25" t="s">
        <v>48</v>
      </c>
      <c r="Z95" s="25" t="s">
        <v>92</v>
      </c>
      <c r="AA95" s="25" t="s">
        <v>72</v>
      </c>
      <c r="AB95" s="25" t="s">
        <v>165</v>
      </c>
      <c r="AC95" s="25"/>
      <c r="AD95" s="25"/>
      <c r="AE95" s="25">
        <v>21307.5</v>
      </c>
      <c r="AF95" s="29"/>
      <c r="AG95" s="29"/>
      <c r="AH95" s="10" t="s">
        <v>52</v>
      </c>
      <c r="AI95" s="10"/>
      <c r="AJ95" s="10"/>
      <c r="AK95" s="10"/>
    </row>
    <row r="96" hidden="1">
      <c r="A96" s="10">
        <v>95.0</v>
      </c>
      <c r="B96" s="31">
        <v>45000.0</v>
      </c>
      <c r="C96" s="25">
        <v>0.0</v>
      </c>
      <c r="D96" s="12">
        <f t="shared" si="1"/>
        <v>0</v>
      </c>
      <c r="E96" s="12" t="s">
        <v>37</v>
      </c>
      <c r="F96" s="29"/>
      <c r="G96" s="30"/>
      <c r="H96" s="21"/>
      <c r="I96" s="27">
        <v>2.0</v>
      </c>
      <c r="J96" s="28"/>
      <c r="K96" s="22">
        <v>45029.0</v>
      </c>
      <c r="L96" s="23" t="s">
        <v>503</v>
      </c>
      <c r="M96" s="25" t="s">
        <v>552</v>
      </c>
      <c r="N96" s="25" t="s">
        <v>553</v>
      </c>
      <c r="O96" s="25" t="s">
        <v>66</v>
      </c>
      <c r="P96" s="25">
        <v>92669.0</v>
      </c>
      <c r="Q96" s="25" t="s">
        <v>171</v>
      </c>
      <c r="R96" s="25" t="s">
        <v>549</v>
      </c>
      <c r="S96" s="29"/>
      <c r="T96" s="25"/>
      <c r="U96" s="25" t="s">
        <v>554</v>
      </c>
      <c r="V96" s="29"/>
      <c r="W96" s="29"/>
      <c r="X96" s="25" t="s">
        <v>47</v>
      </c>
      <c r="Y96" s="25" t="s">
        <v>48</v>
      </c>
      <c r="Z96" s="25" t="s">
        <v>92</v>
      </c>
      <c r="AA96" s="25" t="s">
        <v>72</v>
      </c>
      <c r="AB96" s="25" t="s">
        <v>165</v>
      </c>
      <c r="AC96" s="29"/>
      <c r="AD96" s="29"/>
      <c r="AE96" s="29"/>
      <c r="AF96" s="29"/>
      <c r="AG96" s="29"/>
      <c r="AH96" s="10" t="s">
        <v>52</v>
      </c>
      <c r="AI96" s="10"/>
      <c r="AJ96" s="10"/>
      <c r="AK96" s="10"/>
    </row>
    <row r="97" hidden="1">
      <c r="A97" s="10">
        <v>96.0</v>
      </c>
      <c r="B97" s="31">
        <v>45007.0</v>
      </c>
      <c r="C97" s="25">
        <v>0.0</v>
      </c>
      <c r="D97" s="12">
        <f t="shared" si="1"/>
        <v>0</v>
      </c>
      <c r="E97" s="12" t="s">
        <v>37</v>
      </c>
      <c r="F97" s="25"/>
      <c r="G97" s="26"/>
      <c r="H97" s="21"/>
      <c r="I97" s="27">
        <v>9.0</v>
      </c>
      <c r="J97" s="28"/>
      <c r="K97" s="22">
        <v>45031.0</v>
      </c>
      <c r="L97" s="23" t="s">
        <v>555</v>
      </c>
      <c r="M97" s="25" t="s">
        <v>556</v>
      </c>
      <c r="N97" s="25" t="s">
        <v>557</v>
      </c>
      <c r="O97" s="25" t="s">
        <v>558</v>
      </c>
      <c r="P97" s="25">
        <v>94899.0</v>
      </c>
      <c r="Q97" s="25" t="s">
        <v>477</v>
      </c>
      <c r="R97" s="25" t="s">
        <v>559</v>
      </c>
      <c r="S97" s="32">
        <v>1750.0</v>
      </c>
      <c r="T97" s="25"/>
      <c r="U97" s="25" t="s">
        <v>560</v>
      </c>
      <c r="V97" s="29"/>
      <c r="W97" s="25">
        <v>2.101541179E9</v>
      </c>
      <c r="X97" s="25" t="s">
        <v>47</v>
      </c>
      <c r="Y97" s="25" t="s">
        <v>48</v>
      </c>
      <c r="Z97" s="25" t="s">
        <v>102</v>
      </c>
      <c r="AA97" s="25" t="s">
        <v>72</v>
      </c>
      <c r="AB97" s="25" t="s">
        <v>257</v>
      </c>
      <c r="AC97" s="25"/>
      <c r="AD97" s="25"/>
      <c r="AE97" s="25">
        <v>48231.49</v>
      </c>
      <c r="AF97" s="25"/>
      <c r="AG97" s="29"/>
      <c r="AH97" s="10" t="s">
        <v>52</v>
      </c>
      <c r="AI97" s="10"/>
      <c r="AJ97" s="10"/>
      <c r="AK97" s="10"/>
    </row>
    <row r="98" hidden="1">
      <c r="A98" s="10">
        <v>97.0</v>
      </c>
      <c r="B98" s="31">
        <v>44984.0</v>
      </c>
      <c r="C98" s="25">
        <v>0.0</v>
      </c>
      <c r="D98" s="12">
        <f t="shared" si="1"/>
        <v>0</v>
      </c>
      <c r="E98" s="12" t="s">
        <v>37</v>
      </c>
      <c r="F98" s="25"/>
      <c r="G98" s="26"/>
      <c r="H98" s="21"/>
      <c r="I98" s="27">
        <v>3.0</v>
      </c>
      <c r="J98" s="28"/>
      <c r="K98" s="22">
        <v>45033.0</v>
      </c>
      <c r="L98" s="23" t="s">
        <v>78</v>
      </c>
      <c r="M98" s="25" t="s">
        <v>561</v>
      </c>
      <c r="N98" s="25" t="s">
        <v>562</v>
      </c>
      <c r="O98" s="25" t="s">
        <v>66</v>
      </c>
      <c r="P98" s="25">
        <v>99563.0</v>
      </c>
      <c r="Q98" s="12" t="s">
        <v>80</v>
      </c>
      <c r="R98" s="12" t="s">
        <v>81</v>
      </c>
      <c r="S98" s="32">
        <v>1070.0</v>
      </c>
      <c r="T98" s="25"/>
      <c r="U98" s="25" t="s">
        <v>563</v>
      </c>
      <c r="V98" s="25" t="s">
        <v>564</v>
      </c>
      <c r="W98" s="29"/>
      <c r="X98" s="25" t="s">
        <v>47</v>
      </c>
      <c r="Y98" s="25" t="s">
        <v>48</v>
      </c>
      <c r="Z98" s="25" t="s">
        <v>49</v>
      </c>
      <c r="AA98" s="25" t="s">
        <v>62</v>
      </c>
      <c r="AB98" s="25" t="s">
        <v>402</v>
      </c>
      <c r="AC98" s="25"/>
      <c r="AD98" s="25"/>
      <c r="AE98" s="25">
        <v>16207.5</v>
      </c>
      <c r="AF98" s="29"/>
      <c r="AG98" s="29"/>
      <c r="AH98" s="10" t="s">
        <v>52</v>
      </c>
      <c r="AI98" s="10"/>
      <c r="AJ98" s="10"/>
      <c r="AK98" s="10"/>
    </row>
    <row r="99" hidden="1">
      <c r="A99" s="10">
        <v>98.0</v>
      </c>
      <c r="B99" s="31">
        <v>44982.0</v>
      </c>
      <c r="C99" s="25">
        <v>0.0</v>
      </c>
      <c r="D99" s="12">
        <f t="shared" si="1"/>
        <v>0</v>
      </c>
      <c r="E99" s="12" t="s">
        <v>37</v>
      </c>
      <c r="F99" s="25"/>
      <c r="G99" s="26"/>
      <c r="H99" s="21"/>
      <c r="I99" s="27">
        <v>1.0</v>
      </c>
      <c r="J99" s="28"/>
      <c r="K99" s="22">
        <v>45034.0</v>
      </c>
      <c r="L99" s="23" t="s">
        <v>565</v>
      </c>
      <c r="M99" s="25" t="s">
        <v>566</v>
      </c>
      <c r="N99" s="25">
        <v>289.0</v>
      </c>
      <c r="O99" s="25" t="s">
        <v>66</v>
      </c>
      <c r="P99" s="25">
        <v>34972.0</v>
      </c>
      <c r="Q99" s="25" t="s">
        <v>567</v>
      </c>
      <c r="R99" s="25" t="s">
        <v>568</v>
      </c>
      <c r="S99" s="32">
        <v>2680.0</v>
      </c>
      <c r="T99" s="25"/>
      <c r="U99" s="25" t="s">
        <v>569</v>
      </c>
      <c r="V99" s="29"/>
      <c r="W99" s="25" t="s">
        <v>570</v>
      </c>
      <c r="X99" s="25" t="s">
        <v>47</v>
      </c>
      <c r="Y99" s="25" t="s">
        <v>48</v>
      </c>
      <c r="Z99" s="25" t="s">
        <v>102</v>
      </c>
      <c r="AA99" s="25" t="s">
        <v>72</v>
      </c>
      <c r="AB99" s="25" t="s">
        <v>138</v>
      </c>
      <c r="AC99" s="25"/>
      <c r="AD99" s="25"/>
      <c r="AE99" s="25">
        <v>4194.57</v>
      </c>
      <c r="AF99" s="25" t="s">
        <v>571</v>
      </c>
      <c r="AG99" s="29"/>
      <c r="AH99" s="10" t="s">
        <v>52</v>
      </c>
      <c r="AI99" s="10"/>
      <c r="AJ99" s="10"/>
      <c r="AK99" s="10"/>
    </row>
    <row r="100" hidden="1">
      <c r="A100" s="10">
        <v>99.0</v>
      </c>
      <c r="B100" s="31">
        <v>44993.0</v>
      </c>
      <c r="C100" s="25">
        <v>0.0</v>
      </c>
      <c r="D100" s="12">
        <f t="shared" si="1"/>
        <v>0</v>
      </c>
      <c r="E100" s="12" t="s">
        <v>37</v>
      </c>
      <c r="F100" s="25"/>
      <c r="G100" s="26"/>
      <c r="H100" s="21"/>
      <c r="I100" s="27">
        <v>1.0</v>
      </c>
      <c r="J100" s="28"/>
      <c r="K100" s="22">
        <v>45034.0</v>
      </c>
      <c r="L100" s="23" t="s">
        <v>145</v>
      </c>
      <c r="M100" s="25" t="s">
        <v>572</v>
      </c>
      <c r="N100" s="25">
        <v>1.5005354E7</v>
      </c>
      <c r="O100" s="25" t="s">
        <v>66</v>
      </c>
      <c r="P100" s="25">
        <v>94872.0</v>
      </c>
      <c r="Q100" s="25" t="s">
        <v>573</v>
      </c>
      <c r="R100" s="25" t="s">
        <v>196</v>
      </c>
      <c r="S100" s="25" t="s">
        <v>165</v>
      </c>
      <c r="T100" s="25"/>
      <c r="U100" s="25" t="s">
        <v>574</v>
      </c>
      <c r="V100" s="25" t="s">
        <v>575</v>
      </c>
      <c r="W100" s="43"/>
      <c r="X100" s="25" t="s">
        <v>47</v>
      </c>
      <c r="Y100" s="25" t="s">
        <v>48</v>
      </c>
      <c r="Z100" s="25" t="s">
        <v>92</v>
      </c>
      <c r="AA100" s="25" t="s">
        <v>72</v>
      </c>
      <c r="AB100" s="25" t="s">
        <v>165</v>
      </c>
      <c r="AC100" s="25"/>
      <c r="AD100" s="25"/>
      <c r="AE100" s="25">
        <v>5623.25</v>
      </c>
      <c r="AF100" s="25" t="s">
        <v>576</v>
      </c>
      <c r="AG100" s="29"/>
      <c r="AH100" s="10" t="s">
        <v>52</v>
      </c>
      <c r="AI100" s="10"/>
      <c r="AJ100" s="10"/>
      <c r="AK100" s="10"/>
    </row>
    <row r="101" hidden="1">
      <c r="A101" s="10">
        <v>100.0</v>
      </c>
      <c r="B101" s="31">
        <v>44998.0</v>
      </c>
      <c r="C101" s="25">
        <v>0.0</v>
      </c>
      <c r="D101" s="12">
        <f t="shared" si="1"/>
        <v>0</v>
      </c>
      <c r="E101" s="12" t="s">
        <v>37</v>
      </c>
      <c r="F101" s="25"/>
      <c r="G101" s="26"/>
      <c r="H101" s="21"/>
      <c r="I101" s="27">
        <v>2.0</v>
      </c>
      <c r="J101" s="28"/>
      <c r="K101" s="22">
        <v>45035.0</v>
      </c>
      <c r="L101" s="19" t="s">
        <v>38</v>
      </c>
      <c r="M101" s="25" t="s">
        <v>577</v>
      </c>
      <c r="N101" s="25" t="s">
        <v>578</v>
      </c>
      <c r="O101" s="25" t="s">
        <v>66</v>
      </c>
      <c r="P101" s="25">
        <v>68778.0</v>
      </c>
      <c r="Q101" s="12" t="s">
        <v>42</v>
      </c>
      <c r="R101" s="12" t="s">
        <v>43</v>
      </c>
      <c r="S101" s="32">
        <v>2650.0</v>
      </c>
      <c r="T101" s="25"/>
      <c r="U101" s="25" t="s">
        <v>579</v>
      </c>
      <c r="V101" s="29"/>
      <c r="W101" s="25" t="s">
        <v>580</v>
      </c>
      <c r="X101" s="25" t="s">
        <v>47</v>
      </c>
      <c r="Y101" s="25" t="s">
        <v>48</v>
      </c>
      <c r="Z101" s="25" t="s">
        <v>49</v>
      </c>
      <c r="AA101" s="25" t="s">
        <v>581</v>
      </c>
      <c r="AB101" s="25" t="s">
        <v>114</v>
      </c>
      <c r="AC101" s="25"/>
      <c r="AD101" s="25"/>
      <c r="AE101" s="25"/>
      <c r="AF101" s="25" t="s">
        <v>582</v>
      </c>
      <c r="AG101" s="29"/>
      <c r="AH101" s="10" t="s">
        <v>52</v>
      </c>
      <c r="AI101" s="10"/>
      <c r="AJ101" s="10"/>
      <c r="AK101" s="10"/>
    </row>
    <row r="102" hidden="1">
      <c r="A102" s="10">
        <v>101.0</v>
      </c>
      <c r="B102" s="31">
        <v>44966.0</v>
      </c>
      <c r="C102" s="25">
        <v>0.0</v>
      </c>
      <c r="D102" s="12">
        <f t="shared" si="1"/>
        <v>0</v>
      </c>
      <c r="E102" s="12" t="s">
        <v>37</v>
      </c>
      <c r="F102" s="29"/>
      <c r="G102" s="30"/>
      <c r="H102" s="21"/>
      <c r="I102" s="27">
        <v>2.0</v>
      </c>
      <c r="J102" s="28"/>
      <c r="K102" s="22">
        <v>45036.0</v>
      </c>
      <c r="L102" s="23" t="s">
        <v>157</v>
      </c>
      <c r="M102" s="25" t="s">
        <v>583</v>
      </c>
      <c r="N102" s="25" t="s">
        <v>584</v>
      </c>
      <c r="O102" s="25" t="s">
        <v>66</v>
      </c>
      <c r="P102" s="25">
        <v>36317.0</v>
      </c>
      <c r="Q102" s="25" t="s">
        <v>160</v>
      </c>
      <c r="R102" s="25" t="s">
        <v>161</v>
      </c>
      <c r="S102" s="25" t="s">
        <v>165</v>
      </c>
      <c r="T102" s="25"/>
      <c r="U102" s="25" t="s">
        <v>585</v>
      </c>
      <c r="V102" s="25" t="s">
        <v>586</v>
      </c>
      <c r="W102" s="29"/>
      <c r="X102" s="25" t="s">
        <v>47</v>
      </c>
      <c r="Y102" s="25" t="s">
        <v>48</v>
      </c>
      <c r="Z102" s="25" t="s">
        <v>92</v>
      </c>
      <c r="AA102" s="25" t="s">
        <v>72</v>
      </c>
      <c r="AB102" s="25" t="s">
        <v>165</v>
      </c>
      <c r="AC102" s="29"/>
      <c r="AD102" s="29"/>
      <c r="AE102" s="29"/>
      <c r="AF102" s="29"/>
      <c r="AG102" s="29"/>
      <c r="AH102" s="10" t="s">
        <v>52</v>
      </c>
      <c r="AI102" s="10"/>
      <c r="AJ102" s="10"/>
      <c r="AK102" s="10"/>
    </row>
    <row r="103" hidden="1">
      <c r="A103" s="10">
        <v>102.0</v>
      </c>
      <c r="B103" s="31">
        <v>44994.0</v>
      </c>
      <c r="C103" s="25">
        <v>0.0</v>
      </c>
      <c r="D103" s="12">
        <f t="shared" si="1"/>
        <v>0</v>
      </c>
      <c r="E103" s="12" t="s">
        <v>37</v>
      </c>
      <c r="F103" s="29"/>
      <c r="G103" s="30"/>
      <c r="H103" s="21"/>
      <c r="I103" s="27">
        <v>2.0</v>
      </c>
      <c r="J103" s="28"/>
      <c r="K103" s="22">
        <v>45036.0</v>
      </c>
      <c r="L103" s="23" t="s">
        <v>157</v>
      </c>
      <c r="M103" s="25" t="s">
        <v>583</v>
      </c>
      <c r="N103" s="25" t="s">
        <v>587</v>
      </c>
      <c r="O103" s="25" t="s">
        <v>66</v>
      </c>
      <c r="P103" s="25">
        <v>36315.0</v>
      </c>
      <c r="Q103" s="25" t="s">
        <v>160</v>
      </c>
      <c r="R103" s="25" t="s">
        <v>161</v>
      </c>
      <c r="S103" s="25" t="s">
        <v>165</v>
      </c>
      <c r="T103" s="25"/>
      <c r="U103" s="25" t="s">
        <v>588</v>
      </c>
      <c r="V103" s="25" t="s">
        <v>589</v>
      </c>
      <c r="W103" s="29"/>
      <c r="X103" s="25" t="s">
        <v>47</v>
      </c>
      <c r="Y103" s="25" t="s">
        <v>48</v>
      </c>
      <c r="Z103" s="25" t="s">
        <v>92</v>
      </c>
      <c r="AA103" s="25" t="s">
        <v>72</v>
      </c>
      <c r="AB103" s="25" t="s">
        <v>165</v>
      </c>
      <c r="AC103" s="29"/>
      <c r="AD103" s="29"/>
      <c r="AE103" s="29"/>
      <c r="AF103" s="29"/>
      <c r="AG103" s="29"/>
      <c r="AH103" s="10" t="s">
        <v>52</v>
      </c>
      <c r="AI103" s="10"/>
      <c r="AJ103" s="10"/>
      <c r="AK103" s="10"/>
    </row>
    <row r="104" hidden="1">
      <c r="A104" s="10">
        <v>103.0</v>
      </c>
      <c r="B104" s="31">
        <v>45006.0</v>
      </c>
      <c r="C104" s="25">
        <v>0.0</v>
      </c>
      <c r="D104" s="12">
        <f t="shared" si="1"/>
        <v>0</v>
      </c>
      <c r="E104" s="12" t="s">
        <v>37</v>
      </c>
      <c r="F104" s="25"/>
      <c r="G104" s="26"/>
      <c r="H104" s="21"/>
      <c r="I104" s="27">
        <v>1.0</v>
      </c>
      <c r="J104" s="28"/>
      <c r="K104" s="22">
        <v>45036.0</v>
      </c>
      <c r="L104" s="23" t="s">
        <v>590</v>
      </c>
      <c r="M104" s="25" t="s">
        <v>591</v>
      </c>
      <c r="N104" s="25" t="s">
        <v>592</v>
      </c>
      <c r="O104" s="25" t="s">
        <v>593</v>
      </c>
      <c r="P104" s="25">
        <v>103520.0</v>
      </c>
      <c r="Q104" s="25" t="s">
        <v>171</v>
      </c>
      <c r="R104" s="25" t="s">
        <v>594</v>
      </c>
      <c r="S104" s="32">
        <v>2300.0</v>
      </c>
      <c r="T104" s="25"/>
      <c r="U104" s="25" t="s">
        <v>595</v>
      </c>
      <c r="V104" s="25" t="s">
        <v>596</v>
      </c>
      <c r="W104" s="29"/>
      <c r="X104" s="25" t="s">
        <v>47</v>
      </c>
      <c r="Y104" s="25" t="s">
        <v>48</v>
      </c>
      <c r="Z104" s="25" t="s">
        <v>102</v>
      </c>
      <c r="AA104" s="25" t="s">
        <v>597</v>
      </c>
      <c r="AB104" s="25" t="s">
        <v>470</v>
      </c>
      <c r="AC104" s="25"/>
      <c r="AD104" s="25"/>
      <c r="AE104" s="25">
        <v>5647.83</v>
      </c>
      <c r="AF104" s="29"/>
      <c r="AG104" s="29"/>
      <c r="AH104" s="10" t="s">
        <v>52</v>
      </c>
      <c r="AI104" s="10"/>
      <c r="AJ104" s="10"/>
      <c r="AK104" s="10"/>
    </row>
    <row r="105" hidden="1">
      <c r="A105" s="10">
        <v>104.0</v>
      </c>
      <c r="B105" s="31">
        <v>44993.0</v>
      </c>
      <c r="C105" s="25">
        <v>0.0</v>
      </c>
      <c r="D105" s="12">
        <f t="shared" si="1"/>
        <v>0</v>
      </c>
      <c r="E105" s="12" t="s">
        <v>37</v>
      </c>
      <c r="F105" s="25"/>
      <c r="G105" s="26"/>
      <c r="H105" s="21"/>
      <c r="I105" s="27">
        <v>1.0</v>
      </c>
      <c r="J105" s="28"/>
      <c r="K105" s="22">
        <v>45042.0</v>
      </c>
      <c r="L105" s="23" t="s">
        <v>145</v>
      </c>
      <c r="M105" s="25" t="s">
        <v>572</v>
      </c>
      <c r="N105" s="25">
        <v>1.5005398E7</v>
      </c>
      <c r="O105" s="25" t="s">
        <v>66</v>
      </c>
      <c r="P105" s="25">
        <v>107736.0</v>
      </c>
      <c r="Q105" s="25" t="s">
        <v>573</v>
      </c>
      <c r="R105" s="25" t="s">
        <v>196</v>
      </c>
      <c r="S105" s="32" t="s">
        <v>165</v>
      </c>
      <c r="T105" s="25"/>
      <c r="U105" s="25" t="s">
        <v>598</v>
      </c>
      <c r="V105" s="25" t="s">
        <v>599</v>
      </c>
      <c r="W105" s="29"/>
      <c r="X105" s="25" t="s">
        <v>47</v>
      </c>
      <c r="Y105" s="25" t="s">
        <v>48</v>
      </c>
      <c r="Z105" s="25" t="s">
        <v>92</v>
      </c>
      <c r="AA105" s="25" t="s">
        <v>72</v>
      </c>
      <c r="AB105" s="25" t="s">
        <v>165</v>
      </c>
      <c r="AC105" s="25"/>
      <c r="AD105" s="25"/>
      <c r="AE105" s="25">
        <v>5623.25</v>
      </c>
      <c r="AF105" s="25" t="s">
        <v>576</v>
      </c>
      <c r="AG105" s="29"/>
      <c r="AH105" s="10" t="s">
        <v>52</v>
      </c>
      <c r="AI105" s="10"/>
      <c r="AJ105" s="10"/>
      <c r="AK105" s="10"/>
    </row>
    <row r="106" hidden="1">
      <c r="A106" s="10">
        <v>105.0</v>
      </c>
      <c r="B106" s="31">
        <v>45007.0</v>
      </c>
      <c r="C106" s="25">
        <v>0.0</v>
      </c>
      <c r="D106" s="12">
        <f t="shared" si="1"/>
        <v>0</v>
      </c>
      <c r="E106" s="12" t="s">
        <v>37</v>
      </c>
      <c r="F106" s="25"/>
      <c r="G106" s="26"/>
      <c r="H106" s="21"/>
      <c r="I106" s="27">
        <v>10.0</v>
      </c>
      <c r="J106" s="28"/>
      <c r="K106" s="22">
        <v>45043.0</v>
      </c>
      <c r="L106" s="23" t="s">
        <v>250</v>
      </c>
      <c r="M106" s="25" t="s">
        <v>600</v>
      </c>
      <c r="N106" s="25" t="s">
        <v>601</v>
      </c>
      <c r="O106" s="25" t="s">
        <v>602</v>
      </c>
      <c r="P106" s="25">
        <v>105941.0</v>
      </c>
      <c r="Q106" s="25" t="s">
        <v>370</v>
      </c>
      <c r="R106" s="25" t="s">
        <v>603</v>
      </c>
      <c r="S106" s="32">
        <v>2050.0</v>
      </c>
      <c r="T106" s="42"/>
      <c r="U106" s="42" t="s">
        <v>604</v>
      </c>
      <c r="V106" s="29"/>
      <c r="W106" s="25" t="s">
        <v>605</v>
      </c>
      <c r="X106" s="25" t="s">
        <v>47</v>
      </c>
      <c r="Y106" s="25" t="s">
        <v>48</v>
      </c>
      <c r="Z106" s="25" t="s">
        <v>102</v>
      </c>
      <c r="AA106" s="25" t="s">
        <v>72</v>
      </c>
      <c r="AB106" s="25" t="s">
        <v>470</v>
      </c>
      <c r="AC106" s="25"/>
      <c r="AD106" s="25"/>
      <c r="AE106" s="25">
        <v>53037.53</v>
      </c>
      <c r="AF106" s="25" t="s">
        <v>606</v>
      </c>
      <c r="AG106" s="29"/>
      <c r="AH106" s="10" t="s">
        <v>52</v>
      </c>
      <c r="AI106" s="10"/>
      <c r="AJ106" s="10"/>
      <c r="AK106" s="10"/>
    </row>
    <row r="107" hidden="1">
      <c r="A107" s="10">
        <v>106.0</v>
      </c>
      <c r="B107" s="38">
        <v>45020.0</v>
      </c>
      <c r="C107" s="25">
        <v>0.0</v>
      </c>
      <c r="D107" s="12">
        <f t="shared" si="1"/>
        <v>0</v>
      </c>
      <c r="E107" s="12" t="s">
        <v>37</v>
      </c>
      <c r="F107" s="25"/>
      <c r="G107" s="26"/>
      <c r="H107" s="21"/>
      <c r="I107" s="27">
        <v>2.0</v>
      </c>
      <c r="J107" s="28"/>
      <c r="K107" s="22">
        <v>45043.0</v>
      </c>
      <c r="L107" s="23" t="s">
        <v>475</v>
      </c>
      <c r="M107" s="25" t="s">
        <v>607</v>
      </c>
      <c r="N107" s="25" t="s">
        <v>608</v>
      </c>
      <c r="O107" s="25" t="s">
        <v>609</v>
      </c>
      <c r="P107" s="25">
        <v>106054.0</v>
      </c>
      <c r="Q107" s="25" t="s">
        <v>477</v>
      </c>
      <c r="R107" s="25" t="s">
        <v>478</v>
      </c>
      <c r="S107" s="32">
        <v>870.0</v>
      </c>
      <c r="T107" s="25"/>
      <c r="U107" s="25" t="s">
        <v>610</v>
      </c>
      <c r="V107" s="25" t="s">
        <v>611</v>
      </c>
      <c r="W107" s="25">
        <v>2.101544064E9</v>
      </c>
      <c r="X107" s="25" t="s">
        <v>47</v>
      </c>
      <c r="Y107" s="25" t="s">
        <v>48</v>
      </c>
      <c r="Z107" s="25" t="s">
        <v>102</v>
      </c>
      <c r="AA107" s="25" t="s">
        <v>62</v>
      </c>
      <c r="AB107" s="25" t="s">
        <v>257</v>
      </c>
      <c r="AC107" s="25"/>
      <c r="AD107" s="25"/>
      <c r="AE107" s="25">
        <v>12117.97</v>
      </c>
      <c r="AF107" s="25"/>
      <c r="AG107" s="29"/>
      <c r="AH107" s="10" t="s">
        <v>52</v>
      </c>
      <c r="AI107" s="10"/>
      <c r="AJ107" s="10"/>
      <c r="AK107" s="10"/>
    </row>
    <row r="108" hidden="1">
      <c r="A108" s="10">
        <v>107.0</v>
      </c>
      <c r="B108" s="31">
        <v>45011.0</v>
      </c>
      <c r="C108" s="25">
        <v>0.0</v>
      </c>
      <c r="D108" s="12">
        <f t="shared" si="1"/>
        <v>0</v>
      </c>
      <c r="E108" s="12" t="s">
        <v>37</v>
      </c>
      <c r="F108" s="25"/>
      <c r="G108" s="26"/>
      <c r="H108" s="21"/>
      <c r="I108" s="27">
        <v>2.0</v>
      </c>
      <c r="J108" s="28"/>
      <c r="K108" s="22">
        <v>45045.0</v>
      </c>
      <c r="L108" s="19" t="s">
        <v>53</v>
      </c>
      <c r="M108" s="25" t="s">
        <v>612</v>
      </c>
      <c r="N108" s="25" t="s">
        <v>613</v>
      </c>
      <c r="O108" s="25" t="s">
        <v>66</v>
      </c>
      <c r="P108" s="25">
        <v>112978.0</v>
      </c>
      <c r="Q108" s="12" t="s">
        <v>129</v>
      </c>
      <c r="R108" s="12" t="s">
        <v>130</v>
      </c>
      <c r="S108" s="32">
        <v>2533.0</v>
      </c>
      <c r="T108" s="25"/>
      <c r="U108" s="25" t="s">
        <v>614</v>
      </c>
      <c r="V108" s="25" t="s">
        <v>615</v>
      </c>
      <c r="W108" s="25">
        <v>1.705441507E9</v>
      </c>
      <c r="X108" s="25" t="s">
        <v>47</v>
      </c>
      <c r="Y108" s="25" t="s">
        <v>48</v>
      </c>
      <c r="Z108" s="25" t="s">
        <v>102</v>
      </c>
      <c r="AA108" s="25" t="s">
        <v>72</v>
      </c>
      <c r="AB108" s="25" t="s">
        <v>257</v>
      </c>
      <c r="AC108" s="25"/>
      <c r="AD108" s="25"/>
      <c r="AE108" s="25">
        <v>7433.5</v>
      </c>
      <c r="AF108" s="29"/>
      <c r="AG108" s="29"/>
      <c r="AH108" s="10" t="s">
        <v>52</v>
      </c>
      <c r="AI108" s="10"/>
      <c r="AJ108" s="10"/>
      <c r="AK108" s="10"/>
    </row>
    <row r="109" hidden="1">
      <c r="A109" s="10">
        <v>108.0</v>
      </c>
      <c r="B109" s="31">
        <v>45026.0</v>
      </c>
      <c r="C109" s="25">
        <v>0.0</v>
      </c>
      <c r="D109" s="12">
        <f t="shared" si="1"/>
        <v>0</v>
      </c>
      <c r="E109" s="12" t="s">
        <v>37</v>
      </c>
      <c r="F109" s="25"/>
      <c r="G109" s="26"/>
      <c r="H109" s="44"/>
      <c r="I109" s="27">
        <v>1.0</v>
      </c>
      <c r="J109" s="28"/>
      <c r="K109" s="22">
        <v>45052.0</v>
      </c>
      <c r="L109" s="19" t="s">
        <v>38</v>
      </c>
      <c r="M109" s="25" t="s">
        <v>616</v>
      </c>
      <c r="N109" s="25" t="s">
        <v>617</v>
      </c>
      <c r="O109" s="25" t="s">
        <v>313</v>
      </c>
      <c r="P109" s="25">
        <v>82073.0</v>
      </c>
      <c r="Q109" s="12" t="s">
        <v>42</v>
      </c>
      <c r="R109" s="12" t="s">
        <v>43</v>
      </c>
      <c r="S109" s="32">
        <v>2500.0</v>
      </c>
      <c r="T109" s="25"/>
      <c r="U109" s="25" t="s">
        <v>618</v>
      </c>
      <c r="V109" s="25" t="s">
        <v>619</v>
      </c>
      <c r="W109" s="25" t="s">
        <v>620</v>
      </c>
      <c r="X109" s="25" t="s">
        <v>47</v>
      </c>
      <c r="Y109" s="25" t="s">
        <v>48</v>
      </c>
      <c r="Z109" s="25" t="s">
        <v>49</v>
      </c>
      <c r="AA109" s="25" t="s">
        <v>72</v>
      </c>
      <c r="AB109" s="25" t="s">
        <v>114</v>
      </c>
      <c r="AC109" s="25"/>
      <c r="AD109" s="25"/>
      <c r="AE109" s="25"/>
      <c r="AF109" s="25" t="s">
        <v>546</v>
      </c>
      <c r="AG109" s="29"/>
      <c r="AH109" s="10" t="s">
        <v>52</v>
      </c>
      <c r="AI109" s="10"/>
      <c r="AJ109" s="10"/>
      <c r="AK109" s="10"/>
    </row>
    <row r="110" ht="26.25" hidden="1" customHeight="1">
      <c r="A110" s="10">
        <v>109.0</v>
      </c>
      <c r="B110" s="31">
        <v>45019.0</v>
      </c>
      <c r="C110" s="25">
        <v>0.0</v>
      </c>
      <c r="D110" s="12">
        <v>0.0</v>
      </c>
      <c r="E110" s="12" t="s">
        <v>37</v>
      </c>
      <c r="F110" s="25"/>
      <c r="G110" s="26"/>
      <c r="H110" s="44"/>
      <c r="I110" s="27">
        <v>1.0</v>
      </c>
      <c r="J110" s="28"/>
      <c r="K110" s="22">
        <v>45055.0</v>
      </c>
      <c r="L110" s="19" t="s">
        <v>53</v>
      </c>
      <c r="M110" s="25" t="s">
        <v>621</v>
      </c>
      <c r="N110" s="25" t="s">
        <v>622</v>
      </c>
      <c r="O110" s="25" t="s">
        <v>518</v>
      </c>
      <c r="P110" s="25">
        <v>39851.0</v>
      </c>
      <c r="Q110" s="12" t="s">
        <v>67</v>
      </c>
      <c r="R110" s="25" t="s">
        <v>111</v>
      </c>
      <c r="S110" s="32">
        <v>1350.0</v>
      </c>
      <c r="T110" s="25"/>
      <c r="U110" s="25" t="s">
        <v>623</v>
      </c>
      <c r="V110" s="25" t="s">
        <v>624</v>
      </c>
      <c r="W110" s="25" t="s">
        <v>625</v>
      </c>
      <c r="X110" s="25" t="s">
        <v>47</v>
      </c>
      <c r="Y110" s="25" t="s">
        <v>120</v>
      </c>
      <c r="Z110" s="25" t="s">
        <v>49</v>
      </c>
      <c r="AA110" s="25" t="s">
        <v>72</v>
      </c>
      <c r="AB110" s="25" t="s">
        <v>257</v>
      </c>
      <c r="AC110" s="25"/>
      <c r="AD110" s="25"/>
      <c r="AE110" s="25">
        <v>3027.61</v>
      </c>
      <c r="AF110" s="29"/>
      <c r="AG110" s="29"/>
      <c r="AH110" s="10" t="s">
        <v>52</v>
      </c>
      <c r="AI110" s="10"/>
      <c r="AJ110" s="10"/>
      <c r="AK110" s="10"/>
    </row>
    <row r="111" hidden="1">
      <c r="A111" s="10">
        <v>110.0</v>
      </c>
      <c r="B111" s="31">
        <v>45036.0</v>
      </c>
      <c r="C111" s="25">
        <v>0.0</v>
      </c>
      <c r="D111" s="12">
        <f t="shared" ref="D111:D128" si="2">IF(C111-TODAY()&gt;0,C111-TODAY(),0)</f>
        <v>0</v>
      </c>
      <c r="E111" s="12" t="s">
        <v>37</v>
      </c>
      <c r="F111" s="25"/>
      <c r="G111" s="26"/>
      <c r="H111" s="44"/>
      <c r="I111" s="27">
        <v>1.0</v>
      </c>
      <c r="J111" s="28"/>
      <c r="K111" s="22">
        <v>45059.0</v>
      </c>
      <c r="L111" s="23" t="s">
        <v>168</v>
      </c>
      <c r="M111" s="25" t="s">
        <v>626</v>
      </c>
      <c r="N111" s="25">
        <v>523229.0</v>
      </c>
      <c r="O111" s="25" t="s">
        <v>627</v>
      </c>
      <c r="P111" s="25">
        <v>126705.0</v>
      </c>
      <c r="Q111" s="25" t="s">
        <v>171</v>
      </c>
      <c r="R111" s="25" t="s">
        <v>172</v>
      </c>
      <c r="S111" s="32">
        <v>2250.0</v>
      </c>
      <c r="T111" s="25"/>
      <c r="U111" s="25" t="s">
        <v>628</v>
      </c>
      <c r="V111" s="25" t="s">
        <v>629</v>
      </c>
      <c r="W111" s="25" t="s">
        <v>630</v>
      </c>
      <c r="X111" s="25" t="s">
        <v>47</v>
      </c>
      <c r="Y111" s="25" t="s">
        <v>48</v>
      </c>
      <c r="Z111" s="25" t="s">
        <v>102</v>
      </c>
      <c r="AA111" s="25" t="s">
        <v>72</v>
      </c>
      <c r="AB111" s="25" t="s">
        <v>470</v>
      </c>
      <c r="AC111" s="25"/>
      <c r="AD111" s="25"/>
      <c r="AE111" s="25">
        <v>5685.49</v>
      </c>
      <c r="AF111" s="29"/>
      <c r="AG111" s="29"/>
      <c r="AH111" s="10" t="s">
        <v>52</v>
      </c>
      <c r="AI111" s="10"/>
      <c r="AJ111" s="10"/>
      <c r="AK111" s="10"/>
    </row>
    <row r="112" hidden="1">
      <c r="A112" s="10">
        <v>111.0</v>
      </c>
      <c r="B112" s="31">
        <v>45021.0</v>
      </c>
      <c r="C112" s="25">
        <v>0.0</v>
      </c>
      <c r="D112" s="12">
        <f t="shared" si="2"/>
        <v>0</v>
      </c>
      <c r="E112" s="12" t="s">
        <v>37</v>
      </c>
      <c r="F112" s="25"/>
      <c r="G112" s="26"/>
      <c r="H112" s="44"/>
      <c r="I112" s="27">
        <v>1.0</v>
      </c>
      <c r="J112" s="28"/>
      <c r="K112" s="22">
        <v>45064.0</v>
      </c>
      <c r="L112" s="23" t="s">
        <v>78</v>
      </c>
      <c r="M112" s="25" t="s">
        <v>631</v>
      </c>
      <c r="N112" s="25">
        <v>322.0</v>
      </c>
      <c r="O112" s="25" t="s">
        <v>66</v>
      </c>
      <c r="P112" s="25">
        <v>130833.0</v>
      </c>
      <c r="Q112" s="12" t="s">
        <v>80</v>
      </c>
      <c r="R112" s="12" t="s">
        <v>81</v>
      </c>
      <c r="S112" s="32">
        <v>790.0</v>
      </c>
      <c r="T112" s="25"/>
      <c r="U112" s="25" t="s">
        <v>632</v>
      </c>
      <c r="V112" s="25" t="s">
        <v>633</v>
      </c>
      <c r="W112" s="25" t="s">
        <v>634</v>
      </c>
      <c r="X112" s="25" t="s">
        <v>47</v>
      </c>
      <c r="Y112" s="25" t="s">
        <v>48</v>
      </c>
      <c r="Z112" s="25" t="s">
        <v>49</v>
      </c>
      <c r="AA112" s="25" t="s">
        <v>62</v>
      </c>
      <c r="AB112" s="25" t="s">
        <v>257</v>
      </c>
      <c r="AC112" s="25"/>
      <c r="AD112" s="25"/>
      <c r="AE112" s="25">
        <v>5635.0</v>
      </c>
      <c r="AF112" s="29"/>
      <c r="AG112" s="29"/>
      <c r="AH112" s="10" t="s">
        <v>52</v>
      </c>
      <c r="AI112" s="10"/>
      <c r="AJ112" s="10"/>
      <c r="AK112" s="10"/>
    </row>
    <row r="113" hidden="1">
      <c r="A113" s="10">
        <v>112.0</v>
      </c>
      <c r="B113" s="31">
        <v>45039.0</v>
      </c>
      <c r="C113" s="25">
        <v>0.0</v>
      </c>
      <c r="D113" s="12">
        <f t="shared" si="2"/>
        <v>0</v>
      </c>
      <c r="E113" s="12" t="s">
        <v>37</v>
      </c>
      <c r="F113" s="25"/>
      <c r="G113" s="26"/>
      <c r="H113" s="44"/>
      <c r="I113" s="27">
        <v>1.0</v>
      </c>
      <c r="J113" s="28"/>
      <c r="K113" s="22">
        <v>45066.0</v>
      </c>
      <c r="L113" s="23" t="s">
        <v>590</v>
      </c>
      <c r="M113" s="25" t="s">
        <v>635</v>
      </c>
      <c r="N113" s="25" t="s">
        <v>636</v>
      </c>
      <c r="O113" s="25" t="s">
        <v>593</v>
      </c>
      <c r="P113" s="25">
        <v>136209.0</v>
      </c>
      <c r="Q113" s="25" t="s">
        <v>171</v>
      </c>
      <c r="R113" s="25" t="s">
        <v>594</v>
      </c>
      <c r="S113" s="32">
        <v>2300.0</v>
      </c>
      <c r="T113" s="25"/>
      <c r="U113" s="25" t="s">
        <v>637</v>
      </c>
      <c r="V113" s="25" t="s">
        <v>638</v>
      </c>
      <c r="W113" s="25" t="s">
        <v>639</v>
      </c>
      <c r="X113" s="25" t="s">
        <v>47</v>
      </c>
      <c r="Y113" s="25" t="s">
        <v>48</v>
      </c>
      <c r="Z113" s="25" t="s">
        <v>102</v>
      </c>
      <c r="AA113" s="25" t="s">
        <v>62</v>
      </c>
      <c r="AB113" s="25" t="s">
        <v>470</v>
      </c>
      <c r="AC113" s="25"/>
      <c r="AD113" s="25"/>
      <c r="AE113" s="25">
        <v>5708.49</v>
      </c>
      <c r="AF113" s="29"/>
      <c r="AG113" s="29"/>
      <c r="AH113" s="10" t="s">
        <v>52</v>
      </c>
      <c r="AI113" s="10"/>
      <c r="AJ113" s="10"/>
      <c r="AK113" s="10"/>
    </row>
    <row r="114" hidden="1">
      <c r="A114" s="10">
        <v>113.0</v>
      </c>
      <c r="B114" s="31">
        <v>45040.0</v>
      </c>
      <c r="C114" s="25">
        <v>0.0</v>
      </c>
      <c r="D114" s="12">
        <f t="shared" si="2"/>
        <v>0</v>
      </c>
      <c r="E114" s="12" t="s">
        <v>37</v>
      </c>
      <c r="F114" s="25"/>
      <c r="G114" s="26"/>
      <c r="H114" s="44"/>
      <c r="I114" s="27">
        <v>9.0</v>
      </c>
      <c r="J114" s="28"/>
      <c r="K114" s="22">
        <v>45066.0</v>
      </c>
      <c r="L114" s="23" t="s">
        <v>250</v>
      </c>
      <c r="M114" s="25" t="s">
        <v>600</v>
      </c>
      <c r="N114" s="25" t="s">
        <v>640</v>
      </c>
      <c r="O114" s="25" t="s">
        <v>602</v>
      </c>
      <c r="P114" s="25">
        <v>132534.0</v>
      </c>
      <c r="Q114" s="25" t="s">
        <v>370</v>
      </c>
      <c r="R114" s="25" t="s">
        <v>603</v>
      </c>
      <c r="S114" s="32">
        <v>2050.0</v>
      </c>
      <c r="T114" s="25"/>
      <c r="U114" s="25" t="s">
        <v>641</v>
      </c>
      <c r="V114" s="25" t="s">
        <v>642</v>
      </c>
      <c r="W114" s="25" t="s">
        <v>643</v>
      </c>
      <c r="X114" s="25" t="s">
        <v>47</v>
      </c>
      <c r="Y114" s="25" t="s">
        <v>48</v>
      </c>
      <c r="Z114" s="25" t="s">
        <v>102</v>
      </c>
      <c r="AA114" s="25" t="s">
        <v>72</v>
      </c>
      <c r="AB114" s="25" t="s">
        <v>470</v>
      </c>
      <c r="AC114" s="25"/>
      <c r="AD114" s="25"/>
      <c r="AE114" s="25">
        <v>47984.65</v>
      </c>
      <c r="AF114" s="29"/>
      <c r="AG114" s="29"/>
      <c r="AH114" s="10" t="s">
        <v>52</v>
      </c>
      <c r="AI114" s="10"/>
      <c r="AJ114" s="10"/>
      <c r="AK114" s="10"/>
    </row>
    <row r="115" hidden="1">
      <c r="A115" s="10">
        <v>114.0</v>
      </c>
      <c r="B115" s="31">
        <v>45018.0</v>
      </c>
      <c r="C115" s="25">
        <v>0.0</v>
      </c>
      <c r="D115" s="12">
        <f t="shared" si="2"/>
        <v>0</v>
      </c>
      <c r="E115" s="12" t="s">
        <v>37</v>
      </c>
      <c r="F115" s="25"/>
      <c r="G115" s="26"/>
      <c r="H115" s="44"/>
      <c r="I115" s="27">
        <v>4.0</v>
      </c>
      <c r="J115" s="28"/>
      <c r="K115" s="22">
        <v>45068.0</v>
      </c>
      <c r="L115" s="23" t="s">
        <v>145</v>
      </c>
      <c r="M115" s="25" t="s">
        <v>644</v>
      </c>
      <c r="N115" s="25" t="s">
        <v>645</v>
      </c>
      <c r="O115" s="25" t="s">
        <v>66</v>
      </c>
      <c r="P115" s="25">
        <v>43405.0</v>
      </c>
      <c r="Q115" s="25" t="s">
        <v>148</v>
      </c>
      <c r="R115" s="25" t="s">
        <v>149</v>
      </c>
      <c r="S115" s="32">
        <v>3200.0</v>
      </c>
      <c r="T115" s="25"/>
      <c r="U115" s="25" t="s">
        <v>646</v>
      </c>
      <c r="V115" s="25" t="s">
        <v>647</v>
      </c>
      <c r="W115" s="25"/>
      <c r="X115" s="25" t="s">
        <v>47</v>
      </c>
      <c r="Y115" s="25" t="s">
        <v>48</v>
      </c>
      <c r="Z115" s="25" t="s">
        <v>648</v>
      </c>
      <c r="AA115" s="25" t="s">
        <v>597</v>
      </c>
      <c r="AB115" s="25" t="s">
        <v>294</v>
      </c>
      <c r="AC115" s="25"/>
      <c r="AD115" s="25"/>
      <c r="AE115" s="25">
        <v>13118.33</v>
      </c>
      <c r="AF115" s="29"/>
      <c r="AG115" s="29"/>
      <c r="AH115" s="10" t="s">
        <v>52</v>
      </c>
      <c r="AI115" s="10"/>
      <c r="AJ115" s="10"/>
      <c r="AK115" s="10"/>
    </row>
    <row r="116" hidden="1">
      <c r="A116" s="10">
        <v>115.0</v>
      </c>
      <c r="B116" s="31">
        <v>45054.0</v>
      </c>
      <c r="C116" s="25">
        <v>0.0</v>
      </c>
      <c r="D116" s="12">
        <f t="shared" si="2"/>
        <v>0</v>
      </c>
      <c r="E116" s="12" t="s">
        <v>37</v>
      </c>
      <c r="F116" s="25"/>
      <c r="G116" s="26"/>
      <c r="H116" s="44"/>
      <c r="I116" s="27">
        <v>9.0</v>
      </c>
      <c r="J116" s="28"/>
      <c r="K116" s="22">
        <v>45076.0</v>
      </c>
      <c r="L116" s="23" t="s">
        <v>250</v>
      </c>
      <c r="M116" s="25" t="s">
        <v>649</v>
      </c>
      <c r="N116" s="25" t="s">
        <v>650</v>
      </c>
      <c r="O116" s="25" t="s">
        <v>651</v>
      </c>
      <c r="P116" s="25">
        <v>145129.0</v>
      </c>
      <c r="Q116" s="25" t="s">
        <v>370</v>
      </c>
      <c r="R116" s="25" t="s">
        <v>603</v>
      </c>
      <c r="S116" s="32">
        <v>2050.0</v>
      </c>
      <c r="T116" s="25"/>
      <c r="U116" s="25" t="s">
        <v>652</v>
      </c>
      <c r="V116" s="25" t="s">
        <v>653</v>
      </c>
      <c r="W116" s="25" t="s">
        <v>654</v>
      </c>
      <c r="X116" s="25" t="s">
        <v>47</v>
      </c>
      <c r="Y116" s="25" t="s">
        <v>48</v>
      </c>
      <c r="Z116" s="25" t="s">
        <v>102</v>
      </c>
      <c r="AA116" s="25" t="s">
        <v>62</v>
      </c>
      <c r="AB116" s="25" t="s">
        <v>470</v>
      </c>
      <c r="AC116" s="25"/>
      <c r="AD116" s="25"/>
      <c r="AE116" s="25">
        <v>48179.72</v>
      </c>
      <c r="AF116" s="29"/>
      <c r="AG116" s="29"/>
      <c r="AH116" s="10" t="s">
        <v>52</v>
      </c>
      <c r="AI116" s="10"/>
      <c r="AJ116" s="10"/>
      <c r="AK116" s="10"/>
    </row>
    <row r="117" hidden="1">
      <c r="A117" s="10">
        <v>116.0</v>
      </c>
      <c r="B117" s="31">
        <v>45055.0</v>
      </c>
      <c r="C117" s="25">
        <v>0.0</v>
      </c>
      <c r="D117" s="12">
        <f t="shared" si="2"/>
        <v>0</v>
      </c>
      <c r="E117" s="12" t="s">
        <v>37</v>
      </c>
      <c r="F117" s="25"/>
      <c r="G117" s="26"/>
      <c r="H117" s="44"/>
      <c r="I117" s="27">
        <v>9.0</v>
      </c>
      <c r="J117" s="28"/>
      <c r="K117" s="22">
        <v>45078.0</v>
      </c>
      <c r="L117" s="23" t="s">
        <v>555</v>
      </c>
      <c r="M117" s="25" t="s">
        <v>556</v>
      </c>
      <c r="N117" s="25" t="s">
        <v>655</v>
      </c>
      <c r="O117" s="25" t="s">
        <v>558</v>
      </c>
      <c r="P117" s="25">
        <v>141574.0</v>
      </c>
      <c r="Q117" s="25" t="s">
        <v>477</v>
      </c>
      <c r="R117" s="25" t="s">
        <v>559</v>
      </c>
      <c r="S117" s="32">
        <v>1440.0</v>
      </c>
      <c r="T117" s="25"/>
      <c r="U117" s="25" t="s">
        <v>656</v>
      </c>
      <c r="V117" s="25" t="s">
        <v>657</v>
      </c>
      <c r="W117" s="25">
        <v>2.101553329E9</v>
      </c>
      <c r="X117" s="25" t="s">
        <v>47</v>
      </c>
      <c r="Y117" s="25" t="s">
        <v>48</v>
      </c>
      <c r="Z117" s="25" t="s">
        <v>102</v>
      </c>
      <c r="AA117" s="25" t="s">
        <v>72</v>
      </c>
      <c r="AB117" s="25" t="s">
        <v>257</v>
      </c>
      <c r="AC117" s="25"/>
      <c r="AD117" s="25"/>
      <c r="AE117" s="25">
        <v>47079.6</v>
      </c>
      <c r="AF117" s="29"/>
      <c r="AG117" s="29"/>
      <c r="AH117" s="10" t="s">
        <v>52</v>
      </c>
      <c r="AI117" s="10"/>
      <c r="AJ117" s="10"/>
      <c r="AK117" s="10"/>
    </row>
    <row r="118" hidden="1">
      <c r="A118" s="10">
        <v>117.0</v>
      </c>
      <c r="B118" s="31">
        <v>45049.0</v>
      </c>
      <c r="C118" s="25">
        <v>0.0</v>
      </c>
      <c r="D118" s="25">
        <f t="shared" si="2"/>
        <v>0</v>
      </c>
      <c r="E118" s="12" t="s">
        <v>37</v>
      </c>
      <c r="F118" s="25"/>
      <c r="G118" s="26"/>
      <c r="H118" s="45"/>
      <c r="I118" s="27">
        <v>2.0</v>
      </c>
      <c r="J118" s="28"/>
      <c r="K118" s="22">
        <v>45083.0</v>
      </c>
      <c r="L118" s="19" t="s">
        <v>53</v>
      </c>
      <c r="M118" s="25" t="s">
        <v>658</v>
      </c>
      <c r="N118" s="46" t="s">
        <v>659</v>
      </c>
      <c r="O118" s="25" t="s">
        <v>66</v>
      </c>
      <c r="P118" s="25">
        <v>50843.0</v>
      </c>
      <c r="Q118" s="12" t="s">
        <v>67</v>
      </c>
      <c r="R118" s="12" t="s">
        <v>68</v>
      </c>
      <c r="S118" s="25" t="s">
        <v>660</v>
      </c>
      <c r="T118" s="25"/>
      <c r="U118" s="25" t="s">
        <v>661</v>
      </c>
      <c r="V118" s="25"/>
      <c r="W118" s="25" t="s">
        <v>662</v>
      </c>
      <c r="X118" s="25" t="s">
        <v>47</v>
      </c>
      <c r="Y118" s="25" t="s">
        <v>663</v>
      </c>
      <c r="Z118" s="25" t="s">
        <v>49</v>
      </c>
      <c r="AA118" s="25" t="s">
        <v>72</v>
      </c>
      <c r="AB118" s="25" t="s">
        <v>402</v>
      </c>
      <c r="AC118" s="25"/>
      <c r="AD118" s="25"/>
      <c r="AE118" s="25">
        <v>6118.96</v>
      </c>
      <c r="AF118" s="25"/>
      <c r="AG118" s="29"/>
      <c r="AH118" s="10" t="s">
        <v>52</v>
      </c>
      <c r="AI118" s="10"/>
      <c r="AJ118" s="10"/>
      <c r="AK118" s="10"/>
    </row>
    <row r="119" hidden="1">
      <c r="A119" s="10">
        <v>118.0</v>
      </c>
      <c r="B119" s="46">
        <v>45056.0</v>
      </c>
      <c r="C119" s="25">
        <v>0.0</v>
      </c>
      <c r="D119" s="12">
        <f t="shared" si="2"/>
        <v>0</v>
      </c>
      <c r="E119" s="12" t="s">
        <v>37</v>
      </c>
      <c r="F119" s="25"/>
      <c r="G119" s="26"/>
      <c r="H119" s="44"/>
      <c r="I119" s="27">
        <v>4.0</v>
      </c>
      <c r="J119" s="28"/>
      <c r="K119" s="22">
        <v>45083.0</v>
      </c>
      <c r="L119" s="23" t="s">
        <v>78</v>
      </c>
      <c r="M119" s="25" t="s">
        <v>664</v>
      </c>
      <c r="N119" s="25" t="s">
        <v>665</v>
      </c>
      <c r="O119" s="25" t="s">
        <v>66</v>
      </c>
      <c r="P119" s="25">
        <v>147232.0</v>
      </c>
      <c r="Q119" s="12" t="s">
        <v>80</v>
      </c>
      <c r="R119" s="12" t="s">
        <v>81</v>
      </c>
      <c r="S119" s="32">
        <v>745.0</v>
      </c>
      <c r="T119" s="25"/>
      <c r="U119" s="25" t="s">
        <v>666</v>
      </c>
      <c r="V119" s="29"/>
      <c r="W119" s="25" t="s">
        <v>667</v>
      </c>
      <c r="X119" s="25" t="s">
        <v>47</v>
      </c>
      <c r="Y119" s="25" t="s">
        <v>48</v>
      </c>
      <c r="Z119" s="25" t="s">
        <v>49</v>
      </c>
      <c r="AA119" s="25" t="s">
        <v>72</v>
      </c>
      <c r="AB119" s="25" t="s">
        <v>138</v>
      </c>
      <c r="AC119" s="25"/>
      <c r="AD119" s="25"/>
      <c r="AE119" s="25">
        <v>21266.0</v>
      </c>
      <c r="AF119" s="29"/>
      <c r="AG119" s="29"/>
      <c r="AH119" s="10" t="s">
        <v>52</v>
      </c>
      <c r="AI119" s="10"/>
      <c r="AJ119" s="10"/>
      <c r="AK119" s="10"/>
    </row>
    <row r="120" hidden="1">
      <c r="A120" s="10">
        <v>119.0</v>
      </c>
      <c r="B120" s="31">
        <v>45061.0</v>
      </c>
      <c r="C120" s="25">
        <v>0.0</v>
      </c>
      <c r="D120" s="12">
        <f t="shared" si="2"/>
        <v>0</v>
      </c>
      <c r="E120" s="12" t="s">
        <v>37</v>
      </c>
      <c r="F120" s="25"/>
      <c r="G120" s="26"/>
      <c r="H120" s="44"/>
      <c r="I120" s="27">
        <v>12.0</v>
      </c>
      <c r="J120" s="28"/>
      <c r="K120" s="22">
        <v>45085.0</v>
      </c>
      <c r="L120" s="23" t="s">
        <v>250</v>
      </c>
      <c r="M120" s="25" t="s">
        <v>668</v>
      </c>
      <c r="N120" s="25" t="s">
        <v>669</v>
      </c>
      <c r="O120" s="25" t="s">
        <v>651</v>
      </c>
      <c r="P120" s="25">
        <v>154253.0</v>
      </c>
      <c r="Q120" s="25" t="s">
        <v>370</v>
      </c>
      <c r="R120" s="25" t="s">
        <v>603</v>
      </c>
      <c r="S120" s="32">
        <v>2050.0</v>
      </c>
      <c r="T120" s="25"/>
      <c r="U120" s="25" t="s">
        <v>670</v>
      </c>
      <c r="V120" s="25" t="s">
        <v>671</v>
      </c>
      <c r="W120" s="25" t="s">
        <v>672</v>
      </c>
      <c r="X120" s="25" t="s">
        <v>47</v>
      </c>
      <c r="Y120" s="25" t="s">
        <v>48</v>
      </c>
      <c r="Z120" s="25" t="s">
        <v>102</v>
      </c>
      <c r="AA120" s="25" t="s">
        <v>62</v>
      </c>
      <c r="AB120" s="25" t="s">
        <v>470</v>
      </c>
      <c r="AC120" s="25"/>
      <c r="AD120" s="25"/>
      <c r="AE120" s="25">
        <v>65177.79</v>
      </c>
      <c r="AF120" s="29"/>
      <c r="AG120" s="29"/>
      <c r="AH120" s="10" t="s">
        <v>52</v>
      </c>
      <c r="AI120" s="10"/>
      <c r="AJ120" s="10"/>
      <c r="AK120" s="10"/>
    </row>
    <row r="121" hidden="1">
      <c r="A121" s="10">
        <v>120.0</v>
      </c>
      <c r="B121" s="31">
        <v>45059.0</v>
      </c>
      <c r="C121" s="25">
        <v>0.0</v>
      </c>
      <c r="D121" s="12">
        <f t="shared" si="2"/>
        <v>0</v>
      </c>
      <c r="E121" s="12" t="s">
        <v>37</v>
      </c>
      <c r="F121" s="25"/>
      <c r="G121" s="26"/>
      <c r="H121" s="44"/>
      <c r="I121" s="27">
        <v>7.0</v>
      </c>
      <c r="J121" s="28"/>
      <c r="K121" s="22">
        <v>45090.0</v>
      </c>
      <c r="L121" s="19" t="s">
        <v>270</v>
      </c>
      <c r="M121" s="25" t="s">
        <v>673</v>
      </c>
      <c r="N121" s="25" t="s">
        <v>674</v>
      </c>
      <c r="O121" s="25" t="s">
        <v>675</v>
      </c>
      <c r="P121" s="25">
        <v>152181.0</v>
      </c>
      <c r="Q121" s="12" t="s">
        <v>274</v>
      </c>
      <c r="R121" s="25" t="s">
        <v>275</v>
      </c>
      <c r="S121" s="32">
        <v>2250.0</v>
      </c>
      <c r="T121" s="25"/>
      <c r="U121" s="25" t="s">
        <v>676</v>
      </c>
      <c r="V121" s="25" t="s">
        <v>677</v>
      </c>
      <c r="W121" s="25" t="s">
        <v>678</v>
      </c>
      <c r="X121" s="25" t="s">
        <v>47</v>
      </c>
      <c r="Y121" s="25" t="s">
        <v>48</v>
      </c>
      <c r="Z121" s="25" t="s">
        <v>102</v>
      </c>
      <c r="AA121" s="25" t="s">
        <v>62</v>
      </c>
      <c r="AB121" s="25" t="s">
        <v>470</v>
      </c>
      <c r="AC121" s="25"/>
      <c r="AD121" s="25"/>
      <c r="AE121" s="25">
        <v>37241.46</v>
      </c>
      <c r="AF121" s="29"/>
      <c r="AG121" s="29"/>
      <c r="AH121" s="10" t="s">
        <v>52</v>
      </c>
      <c r="AI121" s="10"/>
      <c r="AJ121" s="10"/>
      <c r="AK121" s="10"/>
    </row>
    <row r="122" hidden="1">
      <c r="A122" s="10">
        <v>121.0</v>
      </c>
      <c r="B122" s="31">
        <v>45024.0</v>
      </c>
      <c r="C122" s="25">
        <v>0.0</v>
      </c>
      <c r="D122" s="12">
        <f t="shared" si="2"/>
        <v>0</v>
      </c>
      <c r="E122" s="12" t="s">
        <v>37</v>
      </c>
      <c r="F122" s="25"/>
      <c r="G122" s="26"/>
      <c r="H122" s="44"/>
      <c r="I122" s="27">
        <v>2.0</v>
      </c>
      <c r="J122" s="28"/>
      <c r="K122" s="22">
        <v>45091.0</v>
      </c>
      <c r="L122" s="23" t="s">
        <v>157</v>
      </c>
      <c r="M122" s="25" t="s">
        <v>679</v>
      </c>
      <c r="N122" s="25" t="s">
        <v>680</v>
      </c>
      <c r="O122" s="25" t="s">
        <v>66</v>
      </c>
      <c r="P122" s="25">
        <v>52492.0</v>
      </c>
      <c r="Q122" s="25" t="s">
        <v>160</v>
      </c>
      <c r="R122" s="25" t="s">
        <v>161</v>
      </c>
      <c r="S122" s="32" t="s">
        <v>165</v>
      </c>
      <c r="T122" s="25"/>
      <c r="U122" s="25" t="s">
        <v>681</v>
      </c>
      <c r="V122" s="25" t="s">
        <v>682</v>
      </c>
      <c r="W122" s="25"/>
      <c r="X122" s="25" t="s">
        <v>47</v>
      </c>
      <c r="Y122" s="25" t="s">
        <v>48</v>
      </c>
      <c r="Z122" s="25" t="s">
        <v>92</v>
      </c>
      <c r="AA122" s="25" t="s">
        <v>72</v>
      </c>
      <c r="AB122" s="25" t="s">
        <v>165</v>
      </c>
      <c r="AC122" s="25"/>
      <c r="AD122" s="25"/>
      <c r="AE122" s="25">
        <v>7633.1</v>
      </c>
      <c r="AF122" s="29"/>
      <c r="AG122" s="29"/>
      <c r="AH122" s="10" t="s">
        <v>52</v>
      </c>
      <c r="AI122" s="10"/>
      <c r="AJ122" s="10"/>
      <c r="AK122" s="10"/>
    </row>
    <row r="123" hidden="1">
      <c r="A123" s="10">
        <v>122.0</v>
      </c>
      <c r="B123" s="31">
        <v>45066.0</v>
      </c>
      <c r="C123" s="25">
        <v>0.0</v>
      </c>
      <c r="D123" s="25">
        <f t="shared" si="2"/>
        <v>0</v>
      </c>
      <c r="E123" s="12" t="s">
        <v>37</v>
      </c>
      <c r="F123" s="25"/>
      <c r="G123" s="26"/>
      <c r="H123" s="45"/>
      <c r="I123" s="27">
        <v>1.0</v>
      </c>
      <c r="J123" s="28"/>
      <c r="K123" s="22">
        <v>45094.0</v>
      </c>
      <c r="L123" s="23" t="s">
        <v>590</v>
      </c>
      <c r="M123" s="25" t="s">
        <v>683</v>
      </c>
      <c r="N123" s="46" t="s">
        <v>684</v>
      </c>
      <c r="O123" s="25" t="s">
        <v>66</v>
      </c>
      <c r="P123" s="25">
        <v>165225.0</v>
      </c>
      <c r="Q123" s="25" t="s">
        <v>171</v>
      </c>
      <c r="R123" s="25" t="s">
        <v>594</v>
      </c>
      <c r="S123" s="25">
        <v>1635.0</v>
      </c>
      <c r="T123" s="25"/>
      <c r="U123" s="25" t="s">
        <v>685</v>
      </c>
      <c r="V123" s="25" t="s">
        <v>686</v>
      </c>
      <c r="W123" s="25"/>
      <c r="X123" s="25" t="s">
        <v>47</v>
      </c>
      <c r="Y123" s="25" t="s">
        <v>48</v>
      </c>
      <c r="Z123" s="25" t="s">
        <v>102</v>
      </c>
      <c r="AA123" s="25" t="s">
        <v>72</v>
      </c>
      <c r="AB123" s="25" t="s">
        <v>687</v>
      </c>
      <c r="AC123" s="25"/>
      <c r="AD123" s="25"/>
      <c r="AE123" s="25">
        <v>5685.0</v>
      </c>
      <c r="AF123" s="25"/>
      <c r="AG123" s="29"/>
      <c r="AH123" s="10" t="s">
        <v>52</v>
      </c>
      <c r="AI123" s="10"/>
      <c r="AJ123" s="10"/>
      <c r="AK123" s="10"/>
    </row>
    <row r="124" hidden="1">
      <c r="A124" s="10">
        <v>123.0</v>
      </c>
      <c r="B124" s="31">
        <v>45062.0</v>
      </c>
      <c r="C124" s="25">
        <v>0.0</v>
      </c>
      <c r="D124" s="12">
        <f t="shared" si="2"/>
        <v>0</v>
      </c>
      <c r="E124" s="12" t="s">
        <v>37</v>
      </c>
      <c r="F124" s="25"/>
      <c r="G124" s="26"/>
      <c r="H124" s="44"/>
      <c r="I124" s="27">
        <v>3.0</v>
      </c>
      <c r="J124" s="28"/>
      <c r="K124" s="22">
        <v>45097.0</v>
      </c>
      <c r="L124" s="23" t="s">
        <v>250</v>
      </c>
      <c r="M124" s="25" t="s">
        <v>688</v>
      </c>
      <c r="N124" s="25" t="s">
        <v>689</v>
      </c>
      <c r="O124" s="25" t="s">
        <v>690</v>
      </c>
      <c r="P124" s="25">
        <v>54837.0</v>
      </c>
      <c r="Q124" s="12" t="s">
        <v>42</v>
      </c>
      <c r="R124" s="12" t="s">
        <v>105</v>
      </c>
      <c r="S124" s="32" t="s">
        <v>691</v>
      </c>
      <c r="T124" s="25"/>
      <c r="U124" s="25" t="s">
        <v>692</v>
      </c>
      <c r="V124" s="25" t="s">
        <v>693</v>
      </c>
      <c r="W124" s="25" t="s">
        <v>694</v>
      </c>
      <c r="X124" s="25" t="s">
        <v>47</v>
      </c>
      <c r="Y124" s="25" t="s">
        <v>695</v>
      </c>
      <c r="Z124" s="25" t="s">
        <v>102</v>
      </c>
      <c r="AA124" s="25" t="s">
        <v>50</v>
      </c>
      <c r="AB124" s="25" t="s">
        <v>257</v>
      </c>
      <c r="AC124" s="25"/>
      <c r="AD124" s="25"/>
      <c r="AE124" s="25">
        <v>8936.08</v>
      </c>
      <c r="AF124" s="25" t="s">
        <v>696</v>
      </c>
      <c r="AG124" s="29"/>
      <c r="AH124" s="10" t="s">
        <v>52</v>
      </c>
      <c r="AI124" s="10"/>
      <c r="AJ124" s="10"/>
      <c r="AK124" s="10"/>
    </row>
    <row r="125" hidden="1">
      <c r="A125" s="10">
        <v>124.0</v>
      </c>
      <c r="B125" s="31">
        <v>45070.0</v>
      </c>
      <c r="C125" s="25">
        <v>0.0</v>
      </c>
      <c r="D125" s="12">
        <f t="shared" si="2"/>
        <v>0</v>
      </c>
      <c r="E125" s="12" t="s">
        <v>37</v>
      </c>
      <c r="F125" s="25"/>
      <c r="G125" s="26"/>
      <c r="H125" s="44"/>
      <c r="I125" s="27">
        <v>7.0</v>
      </c>
      <c r="J125" s="28"/>
      <c r="K125" s="22">
        <v>45097.0</v>
      </c>
      <c r="L125" s="19" t="s">
        <v>270</v>
      </c>
      <c r="M125" s="25" t="s">
        <v>697</v>
      </c>
      <c r="N125" s="25" t="s">
        <v>698</v>
      </c>
      <c r="O125" s="25" t="s">
        <v>675</v>
      </c>
      <c r="P125" s="25">
        <v>161375.0</v>
      </c>
      <c r="Q125" s="12" t="s">
        <v>274</v>
      </c>
      <c r="R125" s="25" t="s">
        <v>275</v>
      </c>
      <c r="S125" s="32">
        <v>2250.0</v>
      </c>
      <c r="T125" s="25"/>
      <c r="U125" s="25" t="s">
        <v>699</v>
      </c>
      <c r="V125" s="25" t="s">
        <v>700</v>
      </c>
      <c r="W125" s="25" t="s">
        <v>701</v>
      </c>
      <c r="X125" s="25" t="s">
        <v>47</v>
      </c>
      <c r="Y125" s="25" t="s">
        <v>48</v>
      </c>
      <c r="Z125" s="25" t="s">
        <v>102</v>
      </c>
      <c r="AA125" s="25" t="s">
        <v>62</v>
      </c>
      <c r="AB125" s="25" t="s">
        <v>470</v>
      </c>
      <c r="AC125" s="25"/>
      <c r="AD125" s="25"/>
      <c r="AE125" s="25">
        <v>37125.46</v>
      </c>
      <c r="AF125" s="29"/>
      <c r="AG125" s="29"/>
      <c r="AH125" s="10" t="s">
        <v>52</v>
      </c>
      <c r="AI125" s="10"/>
      <c r="AJ125" s="10"/>
      <c r="AK125" s="10"/>
    </row>
    <row r="126" hidden="1">
      <c r="A126" s="10">
        <v>125.0</v>
      </c>
      <c r="B126" s="31">
        <v>45073.0</v>
      </c>
      <c r="C126" s="25">
        <v>0.0</v>
      </c>
      <c r="D126" s="25">
        <f t="shared" si="2"/>
        <v>0</v>
      </c>
      <c r="E126" s="12" t="s">
        <v>37</v>
      </c>
      <c r="F126" s="25"/>
      <c r="G126" s="26"/>
      <c r="H126" s="45"/>
      <c r="I126" s="27">
        <v>3.0</v>
      </c>
      <c r="J126" s="28"/>
      <c r="K126" s="22">
        <v>45097.0</v>
      </c>
      <c r="L126" s="23" t="s">
        <v>180</v>
      </c>
      <c r="M126" s="25" t="s">
        <v>702</v>
      </c>
      <c r="N126" s="46" t="s">
        <v>703</v>
      </c>
      <c r="O126" s="25" t="s">
        <v>704</v>
      </c>
      <c r="P126" s="25">
        <v>164056.0</v>
      </c>
      <c r="Q126" s="12" t="s">
        <v>80</v>
      </c>
      <c r="R126" s="12" t="s">
        <v>183</v>
      </c>
      <c r="S126" s="25">
        <v>1550.0</v>
      </c>
      <c r="T126" s="25"/>
      <c r="U126" s="25" t="s">
        <v>705</v>
      </c>
      <c r="V126" s="25" t="s">
        <v>706</v>
      </c>
      <c r="W126" s="25" t="s">
        <v>707</v>
      </c>
      <c r="X126" s="25" t="s">
        <v>47</v>
      </c>
      <c r="Y126" s="25" t="s">
        <v>48</v>
      </c>
      <c r="Z126" s="25" t="s">
        <v>102</v>
      </c>
      <c r="AA126" s="25" t="s">
        <v>72</v>
      </c>
      <c r="AB126" s="25" t="s">
        <v>138</v>
      </c>
      <c r="AC126" s="25"/>
      <c r="AD126" s="25"/>
      <c r="AE126" s="25">
        <v>16259.25</v>
      </c>
      <c r="AF126" s="25"/>
      <c r="AG126" s="29"/>
      <c r="AH126" s="10" t="s">
        <v>52</v>
      </c>
      <c r="AI126" s="10"/>
      <c r="AJ126" s="10"/>
      <c r="AK126" s="10"/>
    </row>
    <row r="127" hidden="1">
      <c r="A127" s="10">
        <v>126.0</v>
      </c>
      <c r="B127" s="31">
        <v>45062.0</v>
      </c>
      <c r="C127" s="25">
        <v>0.0</v>
      </c>
      <c r="D127" s="12">
        <f t="shared" si="2"/>
        <v>0</v>
      </c>
      <c r="E127" s="12" t="s">
        <v>37</v>
      </c>
      <c r="F127" s="25"/>
      <c r="G127" s="26"/>
      <c r="H127" s="44"/>
      <c r="I127" s="27">
        <v>3.0</v>
      </c>
      <c r="J127" s="28"/>
      <c r="K127" s="22">
        <v>45101.0</v>
      </c>
      <c r="L127" s="23" t="s">
        <v>250</v>
      </c>
      <c r="M127" s="25" t="s">
        <v>708</v>
      </c>
      <c r="N127" s="25" t="s">
        <v>709</v>
      </c>
      <c r="O127" s="25" t="s">
        <v>690</v>
      </c>
      <c r="P127" s="25">
        <v>54834.0</v>
      </c>
      <c r="Q127" s="12" t="s">
        <v>42</v>
      </c>
      <c r="R127" s="12" t="s">
        <v>105</v>
      </c>
      <c r="S127" s="32" t="s">
        <v>691</v>
      </c>
      <c r="T127" s="25"/>
      <c r="U127" s="25" t="s">
        <v>710</v>
      </c>
      <c r="V127" s="25" t="s">
        <v>711</v>
      </c>
      <c r="W127" s="25" t="s">
        <v>712</v>
      </c>
      <c r="X127" s="25" t="s">
        <v>47</v>
      </c>
      <c r="Y127" s="25" t="s">
        <v>695</v>
      </c>
      <c r="Z127" s="25" t="s">
        <v>102</v>
      </c>
      <c r="AA127" s="25" t="s">
        <v>50</v>
      </c>
      <c r="AB127" s="25" t="s">
        <v>257</v>
      </c>
      <c r="AC127" s="25"/>
      <c r="AD127" s="25"/>
      <c r="AE127" s="25">
        <v>9167.08</v>
      </c>
      <c r="AF127" s="25" t="s">
        <v>696</v>
      </c>
      <c r="AG127" s="29"/>
      <c r="AH127" s="10" t="s">
        <v>52</v>
      </c>
      <c r="AI127" s="10"/>
      <c r="AJ127" s="10"/>
      <c r="AK127" s="10"/>
    </row>
    <row r="128" hidden="1">
      <c r="A128" s="10">
        <v>127.0</v>
      </c>
      <c r="B128" s="31">
        <v>45055.0</v>
      </c>
      <c r="C128" s="25">
        <v>0.0</v>
      </c>
      <c r="D128" s="12">
        <f t="shared" si="2"/>
        <v>0</v>
      </c>
      <c r="E128" s="12" t="s">
        <v>37</v>
      </c>
      <c r="F128" s="25"/>
      <c r="G128" s="26"/>
      <c r="H128" s="44"/>
      <c r="I128" s="27">
        <v>1.0</v>
      </c>
      <c r="J128" s="28"/>
      <c r="K128" s="22">
        <v>45102.0</v>
      </c>
      <c r="L128" s="23" t="s">
        <v>713</v>
      </c>
      <c r="M128" s="25" t="s">
        <v>714</v>
      </c>
      <c r="N128" s="25">
        <v>993459.0</v>
      </c>
      <c r="O128" s="25" t="s">
        <v>715</v>
      </c>
      <c r="P128" s="25">
        <v>154260.0</v>
      </c>
      <c r="Q128" s="25" t="s">
        <v>246</v>
      </c>
      <c r="R128" s="25" t="s">
        <v>716</v>
      </c>
      <c r="S128" s="32">
        <v>4200.0</v>
      </c>
      <c r="T128" s="25"/>
      <c r="U128" s="25" t="s">
        <v>717</v>
      </c>
      <c r="V128" s="25" t="s">
        <v>718</v>
      </c>
      <c r="W128" s="29"/>
      <c r="X128" s="25" t="s">
        <v>47</v>
      </c>
      <c r="Y128" s="25" t="s">
        <v>120</v>
      </c>
      <c r="Z128" s="25" t="s">
        <v>102</v>
      </c>
      <c r="AA128" s="25" t="s">
        <v>72</v>
      </c>
      <c r="AB128" s="25" t="s">
        <v>719</v>
      </c>
      <c r="AC128" s="25"/>
      <c r="AD128" s="25"/>
      <c r="AE128" s="25">
        <v>6171.42</v>
      </c>
      <c r="AF128" s="29"/>
      <c r="AG128" s="29"/>
      <c r="AH128" s="10" t="s">
        <v>52</v>
      </c>
      <c r="AI128" s="10"/>
      <c r="AJ128" s="10"/>
      <c r="AK128" s="10"/>
    </row>
    <row r="129" hidden="1">
      <c r="A129" s="10">
        <v>128.0</v>
      </c>
      <c r="B129" s="31">
        <v>45054.0</v>
      </c>
      <c r="C129" s="25">
        <v>0.0</v>
      </c>
      <c r="D129" s="25">
        <v>0.0</v>
      </c>
      <c r="E129" s="12" t="s">
        <v>37</v>
      </c>
      <c r="F129" s="25"/>
      <c r="G129" s="26"/>
      <c r="H129" s="21"/>
      <c r="I129" s="27">
        <v>1.0</v>
      </c>
      <c r="J129" s="28"/>
      <c r="K129" s="22">
        <v>45109.0</v>
      </c>
      <c r="L129" s="47" t="s">
        <v>720</v>
      </c>
      <c r="M129" s="31" t="s">
        <v>721</v>
      </c>
      <c r="N129" s="31" t="s">
        <v>722</v>
      </c>
      <c r="O129" s="31" t="s">
        <v>66</v>
      </c>
      <c r="P129" s="25">
        <v>173072.0</v>
      </c>
      <c r="Q129" s="25" t="s">
        <v>246</v>
      </c>
      <c r="R129" s="31" t="s">
        <v>723</v>
      </c>
      <c r="S129" s="25" t="s">
        <v>724</v>
      </c>
      <c r="T129" s="31"/>
      <c r="U129" s="31" t="s">
        <v>725</v>
      </c>
      <c r="V129" s="31" t="s">
        <v>726</v>
      </c>
      <c r="W129" s="31"/>
      <c r="X129" s="31" t="s">
        <v>47</v>
      </c>
      <c r="Y129" s="31" t="s">
        <v>663</v>
      </c>
      <c r="Z129" s="31" t="s">
        <v>49</v>
      </c>
      <c r="AA129" s="31" t="s">
        <v>72</v>
      </c>
      <c r="AB129" s="31" t="s">
        <v>402</v>
      </c>
      <c r="AC129" s="25"/>
      <c r="AD129" s="25"/>
      <c r="AE129" s="25">
        <v>11535.0</v>
      </c>
      <c r="AF129" s="31"/>
      <c r="AG129" s="29"/>
      <c r="AH129" s="10" t="s">
        <v>52</v>
      </c>
      <c r="AI129" s="10"/>
      <c r="AJ129" s="10"/>
      <c r="AK129" s="10"/>
    </row>
    <row r="130" hidden="1">
      <c r="A130" s="10">
        <v>129.0</v>
      </c>
      <c r="B130" s="31">
        <v>45081.0</v>
      </c>
      <c r="C130" s="25">
        <v>0.0</v>
      </c>
      <c r="D130" s="25">
        <v>0.0</v>
      </c>
      <c r="E130" s="12" t="s">
        <v>37</v>
      </c>
      <c r="F130" s="25"/>
      <c r="G130" s="26"/>
      <c r="H130" s="21"/>
      <c r="I130" s="27">
        <v>1.0</v>
      </c>
      <c r="J130" s="28"/>
      <c r="K130" s="22">
        <v>45109.0</v>
      </c>
      <c r="L130" s="47" t="s">
        <v>727</v>
      </c>
      <c r="M130" s="31" t="s">
        <v>728</v>
      </c>
      <c r="N130" s="31" t="s">
        <v>729</v>
      </c>
      <c r="O130" s="31" t="s">
        <v>730</v>
      </c>
      <c r="P130" s="25">
        <v>172114.0</v>
      </c>
      <c r="Q130" s="25" t="s">
        <v>477</v>
      </c>
      <c r="R130" s="31" t="s">
        <v>559</v>
      </c>
      <c r="S130" s="25">
        <v>1525.0</v>
      </c>
      <c r="T130" s="31"/>
      <c r="U130" s="31" t="s">
        <v>731</v>
      </c>
      <c r="V130" s="31" t="s">
        <v>732</v>
      </c>
      <c r="W130" s="31">
        <v>2.101562919E9</v>
      </c>
      <c r="X130" s="31" t="s">
        <v>47</v>
      </c>
      <c r="Y130" s="31" t="s">
        <v>120</v>
      </c>
      <c r="Z130" s="31" t="s">
        <v>102</v>
      </c>
      <c r="AA130" s="31" t="s">
        <v>72</v>
      </c>
      <c r="AB130" s="31" t="s">
        <v>257</v>
      </c>
      <c r="AC130" s="25"/>
      <c r="AD130" s="25"/>
      <c r="AE130" s="25">
        <v>21492.52</v>
      </c>
      <c r="AF130" s="31" t="s">
        <v>696</v>
      </c>
      <c r="AG130" s="29"/>
      <c r="AH130" s="10" t="s">
        <v>52</v>
      </c>
      <c r="AI130" s="10"/>
      <c r="AJ130" s="10"/>
      <c r="AK130" s="10"/>
    </row>
    <row r="131" hidden="1">
      <c r="A131" s="10">
        <v>130.0</v>
      </c>
      <c r="B131" s="31">
        <v>45075.0</v>
      </c>
      <c r="C131" s="25">
        <v>0.0</v>
      </c>
      <c r="D131" s="25">
        <v>0.0</v>
      </c>
      <c r="E131" s="12" t="s">
        <v>37</v>
      </c>
      <c r="F131" s="32"/>
      <c r="G131" s="48"/>
      <c r="H131" s="21"/>
      <c r="I131" s="27">
        <v>1.0</v>
      </c>
      <c r="J131" s="28"/>
      <c r="K131" s="22">
        <v>45113.0</v>
      </c>
      <c r="L131" s="19" t="s">
        <v>38</v>
      </c>
      <c r="M131" s="31" t="s">
        <v>733</v>
      </c>
      <c r="N131" s="31" t="s">
        <v>734</v>
      </c>
      <c r="O131" s="31" t="s">
        <v>735</v>
      </c>
      <c r="P131" s="25">
        <v>60141.0</v>
      </c>
      <c r="Q131" s="12" t="s">
        <v>42</v>
      </c>
      <c r="R131" s="12" t="s">
        <v>43</v>
      </c>
      <c r="S131" s="25">
        <v>2290.0</v>
      </c>
      <c r="T131" s="31"/>
      <c r="U131" s="31" t="s">
        <v>736</v>
      </c>
      <c r="V131" s="31" t="s">
        <v>737</v>
      </c>
      <c r="W131" s="31" t="s">
        <v>738</v>
      </c>
      <c r="X131" s="31" t="s">
        <v>47</v>
      </c>
      <c r="Y131" s="31" t="s">
        <v>48</v>
      </c>
      <c r="Z131" s="31" t="s">
        <v>49</v>
      </c>
      <c r="AA131" s="31" t="s">
        <v>50</v>
      </c>
      <c r="AB131" s="31" t="s">
        <v>739</v>
      </c>
      <c r="AC131" s="32"/>
      <c r="AD131" s="32"/>
      <c r="AE131" s="31"/>
      <c r="AF131" s="31" t="s">
        <v>740</v>
      </c>
      <c r="AG131" s="29"/>
      <c r="AH131" s="10" t="s">
        <v>52</v>
      </c>
      <c r="AI131" s="10"/>
      <c r="AJ131" s="10"/>
      <c r="AK131" s="10"/>
    </row>
    <row r="132" hidden="1">
      <c r="A132" s="10">
        <v>131.0</v>
      </c>
      <c r="B132" s="31">
        <v>45071.0</v>
      </c>
      <c r="C132" s="25">
        <v>0.0</v>
      </c>
      <c r="D132" s="25">
        <v>0.0</v>
      </c>
      <c r="E132" s="12" t="s">
        <v>37</v>
      </c>
      <c r="F132" s="32"/>
      <c r="G132" s="48"/>
      <c r="H132" s="21"/>
      <c r="I132" s="27">
        <v>1.0</v>
      </c>
      <c r="J132" s="28"/>
      <c r="K132" s="22">
        <v>45115.0</v>
      </c>
      <c r="L132" s="23" t="s">
        <v>86</v>
      </c>
      <c r="M132" s="31" t="s">
        <v>741</v>
      </c>
      <c r="N132" s="31">
        <v>900595.0</v>
      </c>
      <c r="O132" s="31" t="s">
        <v>66</v>
      </c>
      <c r="P132" s="25">
        <v>61072.0</v>
      </c>
      <c r="Q132" s="12" t="s">
        <v>42</v>
      </c>
      <c r="R132" s="25" t="s">
        <v>334</v>
      </c>
      <c r="S132" s="25" t="s">
        <v>165</v>
      </c>
      <c r="T132" s="31"/>
      <c r="U132" s="31" t="s">
        <v>742</v>
      </c>
      <c r="V132" s="31" t="s">
        <v>743</v>
      </c>
      <c r="W132" s="31"/>
      <c r="X132" s="31" t="s">
        <v>47</v>
      </c>
      <c r="Y132" s="31" t="s">
        <v>48</v>
      </c>
      <c r="Z132" s="31" t="s">
        <v>648</v>
      </c>
      <c r="AA132" s="31" t="s">
        <v>50</v>
      </c>
      <c r="AB132" s="31" t="s">
        <v>165</v>
      </c>
      <c r="AC132" s="32"/>
      <c r="AD132" s="32"/>
      <c r="AE132" s="31"/>
      <c r="AF132" s="31"/>
      <c r="AG132" s="29"/>
      <c r="AH132" s="10" t="s">
        <v>52</v>
      </c>
      <c r="AI132" s="10"/>
      <c r="AJ132" s="10"/>
      <c r="AK132" s="10"/>
    </row>
    <row r="133" hidden="1">
      <c r="A133" s="10">
        <v>132.0</v>
      </c>
      <c r="B133" s="31">
        <v>45071.0</v>
      </c>
      <c r="C133" s="25">
        <v>0.0</v>
      </c>
      <c r="D133" s="25">
        <v>0.0</v>
      </c>
      <c r="E133" s="12" t="s">
        <v>37</v>
      </c>
      <c r="F133" s="32"/>
      <c r="G133" s="48"/>
      <c r="H133" s="21"/>
      <c r="I133" s="27">
        <v>1.0</v>
      </c>
      <c r="J133" s="28"/>
      <c r="K133" s="22">
        <v>45115.0</v>
      </c>
      <c r="L133" s="23" t="s">
        <v>86</v>
      </c>
      <c r="M133" s="31" t="s">
        <v>741</v>
      </c>
      <c r="N133" s="31">
        <v>900592.0</v>
      </c>
      <c r="O133" s="31" t="s">
        <v>66</v>
      </c>
      <c r="P133" s="25">
        <v>61084.0</v>
      </c>
      <c r="Q133" s="12" t="s">
        <v>42</v>
      </c>
      <c r="R133" s="25" t="s">
        <v>334</v>
      </c>
      <c r="S133" s="25" t="s">
        <v>165</v>
      </c>
      <c r="T133" s="31"/>
      <c r="U133" s="31" t="s">
        <v>744</v>
      </c>
      <c r="V133" s="31" t="s">
        <v>745</v>
      </c>
      <c r="W133" s="31"/>
      <c r="X133" s="31" t="s">
        <v>47</v>
      </c>
      <c r="Y133" s="31" t="s">
        <v>48</v>
      </c>
      <c r="Z133" s="31" t="s">
        <v>648</v>
      </c>
      <c r="AA133" s="31" t="s">
        <v>50</v>
      </c>
      <c r="AB133" s="31" t="s">
        <v>165</v>
      </c>
      <c r="AC133" s="32"/>
      <c r="AD133" s="32"/>
      <c r="AE133" s="31"/>
      <c r="AF133" s="31"/>
      <c r="AG133" s="29"/>
      <c r="AH133" s="10" t="s">
        <v>52</v>
      </c>
      <c r="AI133" s="10"/>
      <c r="AJ133" s="10"/>
      <c r="AK133" s="10"/>
    </row>
    <row r="134" hidden="1">
      <c r="A134" s="10">
        <v>133.0</v>
      </c>
      <c r="B134" s="46">
        <v>45074.0</v>
      </c>
      <c r="C134" s="25">
        <v>0.0</v>
      </c>
      <c r="D134" s="12">
        <f t="shared" ref="D134:D136" si="3">IF(C134-TODAY()&gt;0,C134-TODAY(),0)</f>
        <v>0</v>
      </c>
      <c r="E134" s="12" t="s">
        <v>37</v>
      </c>
      <c r="F134" s="25"/>
      <c r="G134" s="26"/>
      <c r="H134" s="49"/>
      <c r="I134" s="27">
        <v>4.0</v>
      </c>
      <c r="J134" s="28"/>
      <c r="K134" s="22">
        <v>45115.0</v>
      </c>
      <c r="L134" s="23" t="s">
        <v>140</v>
      </c>
      <c r="M134" s="25" t="s">
        <v>746</v>
      </c>
      <c r="N134" s="25" t="s">
        <v>747</v>
      </c>
      <c r="O134" s="25" t="s">
        <v>66</v>
      </c>
      <c r="P134" s="25">
        <v>179934.0</v>
      </c>
      <c r="Q134" s="12" t="s">
        <v>80</v>
      </c>
      <c r="R134" s="12" t="s">
        <v>81</v>
      </c>
      <c r="S134" s="32">
        <v>750.0</v>
      </c>
      <c r="T134" s="25"/>
      <c r="U134" s="25" t="s">
        <v>748</v>
      </c>
      <c r="V134" s="29"/>
      <c r="W134" s="29"/>
      <c r="X134" s="25" t="s">
        <v>47</v>
      </c>
      <c r="Y134" s="25" t="s">
        <v>48</v>
      </c>
      <c r="Z134" s="25" t="s">
        <v>49</v>
      </c>
      <c r="AA134" s="25" t="s">
        <v>62</v>
      </c>
      <c r="AB134" s="25" t="s">
        <v>719</v>
      </c>
      <c r="AC134" s="25"/>
      <c r="AD134" s="25"/>
      <c r="AE134" s="25">
        <v>23007.37</v>
      </c>
      <c r="AF134" s="25" t="s">
        <v>749</v>
      </c>
      <c r="AG134" s="29"/>
      <c r="AH134" s="10" t="s">
        <v>52</v>
      </c>
      <c r="AI134" s="10"/>
      <c r="AJ134" s="10"/>
      <c r="AK134" s="10"/>
    </row>
    <row r="135" hidden="1">
      <c r="A135" s="10">
        <v>134.0</v>
      </c>
      <c r="B135" s="31">
        <v>45078.0</v>
      </c>
      <c r="C135" s="25">
        <v>0.0</v>
      </c>
      <c r="D135" s="31">
        <f t="shared" si="3"/>
        <v>0</v>
      </c>
      <c r="E135" s="12" t="s">
        <v>37</v>
      </c>
      <c r="F135" s="29"/>
      <c r="G135" s="30"/>
      <c r="H135" s="21"/>
      <c r="I135" s="27">
        <v>1.0</v>
      </c>
      <c r="J135" s="28"/>
      <c r="K135" s="22">
        <v>45115.0</v>
      </c>
      <c r="L135" s="19" t="s">
        <v>53</v>
      </c>
      <c r="M135" s="31" t="s">
        <v>750</v>
      </c>
      <c r="N135" s="31" t="s">
        <v>751</v>
      </c>
      <c r="O135" s="31" t="s">
        <v>66</v>
      </c>
      <c r="P135" s="25">
        <v>61553.0</v>
      </c>
      <c r="Q135" s="12" t="s">
        <v>67</v>
      </c>
      <c r="R135" s="25" t="s">
        <v>189</v>
      </c>
      <c r="S135" s="25">
        <v>1525.0</v>
      </c>
      <c r="T135" s="31"/>
      <c r="U135" s="31" t="s">
        <v>752</v>
      </c>
      <c r="V135" s="31"/>
      <c r="W135" s="31" t="s">
        <v>753</v>
      </c>
      <c r="X135" s="31" t="s">
        <v>47</v>
      </c>
      <c r="Y135" s="31" t="s">
        <v>120</v>
      </c>
      <c r="Z135" s="31" t="s">
        <v>49</v>
      </c>
      <c r="AA135" s="31" t="s">
        <v>72</v>
      </c>
      <c r="AB135" s="31" t="s">
        <v>739</v>
      </c>
      <c r="AC135" s="29"/>
      <c r="AD135" s="29"/>
      <c r="AE135" s="29"/>
      <c r="AF135" s="29"/>
      <c r="AG135" s="29"/>
      <c r="AH135" s="10" t="s">
        <v>52</v>
      </c>
      <c r="AI135" s="10"/>
      <c r="AJ135" s="10"/>
      <c r="AK135" s="10"/>
    </row>
    <row r="136" hidden="1">
      <c r="A136" s="10">
        <v>135.0</v>
      </c>
      <c r="B136" s="46">
        <v>45082.0</v>
      </c>
      <c r="C136" s="25">
        <v>0.0</v>
      </c>
      <c r="D136" s="12">
        <f t="shared" si="3"/>
        <v>0</v>
      </c>
      <c r="E136" s="12" t="s">
        <v>37</v>
      </c>
      <c r="F136" s="29"/>
      <c r="G136" s="30"/>
      <c r="H136" s="49"/>
      <c r="I136" s="27">
        <v>2.0</v>
      </c>
      <c r="J136" s="28"/>
      <c r="K136" s="22">
        <v>45116.0</v>
      </c>
      <c r="L136" s="23" t="s">
        <v>555</v>
      </c>
      <c r="M136" s="25" t="s">
        <v>754</v>
      </c>
      <c r="N136" s="25">
        <v>93147.0</v>
      </c>
      <c r="O136" s="25" t="s">
        <v>558</v>
      </c>
      <c r="P136" s="25">
        <v>184398.0</v>
      </c>
      <c r="Q136" s="12" t="s">
        <v>80</v>
      </c>
      <c r="R136" s="25" t="s">
        <v>755</v>
      </c>
      <c r="S136" s="32">
        <v>920.0</v>
      </c>
      <c r="T136" s="25"/>
      <c r="U136" s="25" t="s">
        <v>756</v>
      </c>
      <c r="V136" s="29"/>
      <c r="W136" s="25" t="s">
        <v>757</v>
      </c>
      <c r="X136" s="25" t="s">
        <v>47</v>
      </c>
      <c r="Y136" s="25" t="s">
        <v>48</v>
      </c>
      <c r="Z136" s="25" t="s">
        <v>49</v>
      </c>
      <c r="AA136" s="25" t="s">
        <v>72</v>
      </c>
      <c r="AB136" s="25" t="s">
        <v>138</v>
      </c>
      <c r="AC136" s="29"/>
      <c r="AD136" s="29"/>
      <c r="AE136" s="29"/>
      <c r="AF136" s="29"/>
      <c r="AG136" s="29"/>
      <c r="AH136" s="10" t="s">
        <v>52</v>
      </c>
      <c r="AI136" s="10"/>
      <c r="AJ136" s="10"/>
      <c r="AK136" s="10"/>
    </row>
    <row r="137" hidden="1">
      <c r="A137" s="10">
        <v>136.0</v>
      </c>
      <c r="B137" s="31">
        <v>45071.0</v>
      </c>
      <c r="C137" s="25">
        <v>0.0</v>
      </c>
      <c r="D137" s="25">
        <v>0.0</v>
      </c>
      <c r="E137" s="12" t="s">
        <v>37</v>
      </c>
      <c r="F137" s="25"/>
      <c r="G137" s="26"/>
      <c r="H137" s="21"/>
      <c r="I137" s="27">
        <v>1.0</v>
      </c>
      <c r="J137" s="28"/>
      <c r="K137" s="22">
        <v>45117.0</v>
      </c>
      <c r="L137" s="23" t="s">
        <v>86</v>
      </c>
      <c r="M137" s="31" t="s">
        <v>741</v>
      </c>
      <c r="N137" s="31">
        <v>900594.0</v>
      </c>
      <c r="O137" s="31" t="s">
        <v>66</v>
      </c>
      <c r="P137" s="25">
        <v>61089.0</v>
      </c>
      <c r="Q137" s="12" t="s">
        <v>42</v>
      </c>
      <c r="R137" s="25" t="s">
        <v>334</v>
      </c>
      <c r="S137" s="25" t="s">
        <v>165</v>
      </c>
      <c r="T137" s="31"/>
      <c r="U137" s="31" t="s">
        <v>758</v>
      </c>
      <c r="V137" s="31" t="s">
        <v>759</v>
      </c>
      <c r="W137" s="31"/>
      <c r="X137" s="31" t="s">
        <v>47</v>
      </c>
      <c r="Y137" s="31" t="s">
        <v>48</v>
      </c>
      <c r="Z137" s="31" t="s">
        <v>648</v>
      </c>
      <c r="AA137" s="31" t="s">
        <v>50</v>
      </c>
      <c r="AB137" s="31" t="s">
        <v>165</v>
      </c>
      <c r="AC137" s="25"/>
      <c r="AD137" s="25"/>
      <c r="AE137" s="25">
        <v>3437.56</v>
      </c>
      <c r="AF137" s="31"/>
      <c r="AG137" s="29"/>
      <c r="AH137" s="10" t="s">
        <v>52</v>
      </c>
      <c r="AI137" s="10"/>
      <c r="AJ137" s="10"/>
      <c r="AK137" s="10"/>
    </row>
    <row r="138" hidden="1">
      <c r="A138" s="10">
        <v>137.0</v>
      </c>
      <c r="B138" s="31">
        <v>45071.0</v>
      </c>
      <c r="C138" s="25">
        <v>0.0</v>
      </c>
      <c r="D138" s="25">
        <v>0.0</v>
      </c>
      <c r="E138" s="12" t="s">
        <v>37</v>
      </c>
      <c r="F138" s="25"/>
      <c r="G138" s="26"/>
      <c r="H138" s="21"/>
      <c r="I138" s="27">
        <v>1.0</v>
      </c>
      <c r="J138" s="28"/>
      <c r="K138" s="22">
        <v>45117.0</v>
      </c>
      <c r="L138" s="23" t="s">
        <v>86</v>
      </c>
      <c r="M138" s="31" t="s">
        <v>760</v>
      </c>
      <c r="N138" s="31">
        <v>900591.0</v>
      </c>
      <c r="O138" s="31" t="s">
        <v>66</v>
      </c>
      <c r="P138" s="25">
        <v>61068.0</v>
      </c>
      <c r="Q138" s="12" t="s">
        <v>42</v>
      </c>
      <c r="R138" s="25" t="s">
        <v>334</v>
      </c>
      <c r="S138" s="25" t="s">
        <v>165</v>
      </c>
      <c r="T138" s="31"/>
      <c r="U138" s="31" t="s">
        <v>761</v>
      </c>
      <c r="V138" s="31" t="s">
        <v>762</v>
      </c>
      <c r="W138" s="31"/>
      <c r="X138" s="31" t="s">
        <v>47</v>
      </c>
      <c r="Y138" s="31" t="s">
        <v>48</v>
      </c>
      <c r="Z138" s="31" t="s">
        <v>648</v>
      </c>
      <c r="AA138" s="31" t="s">
        <v>50</v>
      </c>
      <c r="AB138" s="31" t="s">
        <v>165</v>
      </c>
      <c r="AC138" s="25"/>
      <c r="AD138" s="25"/>
      <c r="AE138" s="25">
        <v>3437.56</v>
      </c>
      <c r="AF138" s="31"/>
      <c r="AG138" s="29"/>
      <c r="AH138" s="10" t="s">
        <v>52</v>
      </c>
      <c r="AI138" s="10"/>
      <c r="AJ138" s="10"/>
      <c r="AK138" s="10"/>
    </row>
    <row r="139" hidden="1">
      <c r="A139" s="10">
        <v>138.0</v>
      </c>
      <c r="B139" s="31">
        <v>45071.0</v>
      </c>
      <c r="C139" s="25">
        <v>0.0</v>
      </c>
      <c r="D139" s="25">
        <v>0.0</v>
      </c>
      <c r="E139" s="12" t="s">
        <v>37</v>
      </c>
      <c r="F139" s="32"/>
      <c r="G139" s="48"/>
      <c r="H139" s="21"/>
      <c r="I139" s="27">
        <v>1.0</v>
      </c>
      <c r="J139" s="28"/>
      <c r="K139" s="22">
        <v>45117.0</v>
      </c>
      <c r="L139" s="23" t="s">
        <v>86</v>
      </c>
      <c r="M139" s="31" t="s">
        <v>760</v>
      </c>
      <c r="N139" s="31">
        <v>900596.0</v>
      </c>
      <c r="O139" s="31" t="s">
        <v>66</v>
      </c>
      <c r="P139" s="25">
        <v>61081.0</v>
      </c>
      <c r="Q139" s="12" t="s">
        <v>42</v>
      </c>
      <c r="R139" s="25" t="s">
        <v>334</v>
      </c>
      <c r="S139" s="25" t="s">
        <v>165</v>
      </c>
      <c r="T139" s="31"/>
      <c r="U139" s="31" t="s">
        <v>763</v>
      </c>
      <c r="V139" s="31" t="s">
        <v>764</v>
      </c>
      <c r="W139" s="31"/>
      <c r="X139" s="31" t="s">
        <v>47</v>
      </c>
      <c r="Y139" s="31" t="s">
        <v>48</v>
      </c>
      <c r="Z139" s="31" t="s">
        <v>648</v>
      </c>
      <c r="AA139" s="31" t="s">
        <v>50</v>
      </c>
      <c r="AB139" s="31" t="s">
        <v>165</v>
      </c>
      <c r="AC139" s="32"/>
      <c r="AD139" s="32"/>
      <c r="AE139" s="31"/>
      <c r="AF139" s="31"/>
      <c r="AG139" s="29"/>
      <c r="AH139" s="10" t="s">
        <v>52</v>
      </c>
      <c r="AI139" s="10"/>
      <c r="AJ139" s="10"/>
      <c r="AK139" s="10"/>
    </row>
    <row r="140" hidden="1">
      <c r="A140" s="10">
        <v>139.0</v>
      </c>
      <c r="B140" s="31">
        <v>45071.0</v>
      </c>
      <c r="C140" s="25">
        <v>0.0</v>
      </c>
      <c r="D140" s="25">
        <v>0.0</v>
      </c>
      <c r="E140" s="12" t="s">
        <v>37</v>
      </c>
      <c r="F140" s="25"/>
      <c r="G140" s="26"/>
      <c r="H140" s="21"/>
      <c r="I140" s="27">
        <v>1.0</v>
      </c>
      <c r="J140" s="28"/>
      <c r="K140" s="22">
        <v>45117.0</v>
      </c>
      <c r="L140" s="23" t="s">
        <v>86</v>
      </c>
      <c r="M140" s="31" t="s">
        <v>765</v>
      </c>
      <c r="N140" s="31">
        <v>900597.0</v>
      </c>
      <c r="O140" s="31" t="s">
        <v>66</v>
      </c>
      <c r="P140" s="25">
        <v>60601.0</v>
      </c>
      <c r="Q140" s="12" t="s">
        <v>42</v>
      </c>
      <c r="R140" s="25" t="s">
        <v>334</v>
      </c>
      <c r="S140" s="25" t="s">
        <v>165</v>
      </c>
      <c r="T140" s="31"/>
      <c r="U140" s="31" t="s">
        <v>766</v>
      </c>
      <c r="V140" s="31" t="s">
        <v>767</v>
      </c>
      <c r="W140" s="31"/>
      <c r="X140" s="31" t="s">
        <v>47</v>
      </c>
      <c r="Y140" s="31" t="s">
        <v>120</v>
      </c>
      <c r="Z140" s="31" t="s">
        <v>648</v>
      </c>
      <c r="AA140" s="31" t="s">
        <v>50</v>
      </c>
      <c r="AB140" s="31" t="s">
        <v>165</v>
      </c>
      <c r="AC140" s="25"/>
      <c r="AD140" s="25"/>
      <c r="AE140" s="25">
        <v>5003.77</v>
      </c>
      <c r="AF140" s="31"/>
      <c r="AG140" s="29"/>
      <c r="AH140" s="10" t="s">
        <v>52</v>
      </c>
      <c r="AI140" s="10"/>
      <c r="AJ140" s="10"/>
      <c r="AK140" s="10"/>
    </row>
    <row r="141" hidden="1">
      <c r="A141" s="10">
        <v>140.0</v>
      </c>
      <c r="B141" s="46">
        <v>45103.0</v>
      </c>
      <c r="C141" s="25">
        <v>0.0</v>
      </c>
      <c r="D141" s="12">
        <f>IF(C141-TODAY()&gt;0,C141-TODAY(),0)</f>
        <v>0</v>
      </c>
      <c r="E141" s="12" t="s">
        <v>37</v>
      </c>
      <c r="F141" s="29"/>
      <c r="G141" s="30"/>
      <c r="H141" s="44"/>
      <c r="I141" s="27">
        <v>3.0</v>
      </c>
      <c r="J141" s="28"/>
      <c r="K141" s="22">
        <v>45118.0</v>
      </c>
      <c r="L141" s="23" t="s">
        <v>78</v>
      </c>
      <c r="M141" s="25" t="s">
        <v>768</v>
      </c>
      <c r="N141" s="25" t="s">
        <v>769</v>
      </c>
      <c r="O141" s="25" t="s">
        <v>66</v>
      </c>
      <c r="P141" s="25">
        <v>185970.0</v>
      </c>
      <c r="Q141" s="12" t="s">
        <v>80</v>
      </c>
      <c r="R141" s="12" t="s">
        <v>81</v>
      </c>
      <c r="S141" s="25">
        <v>725.0</v>
      </c>
      <c r="T141" s="25"/>
      <c r="U141" s="25" t="s">
        <v>770</v>
      </c>
      <c r="V141" s="25" t="s">
        <v>771</v>
      </c>
      <c r="W141" s="29"/>
      <c r="X141" s="25" t="s">
        <v>47</v>
      </c>
      <c r="Y141" s="25" t="s">
        <v>48</v>
      </c>
      <c r="Z141" s="25" t="s">
        <v>49</v>
      </c>
      <c r="AA141" s="25" t="s">
        <v>62</v>
      </c>
      <c r="AB141" s="25" t="s">
        <v>719</v>
      </c>
      <c r="AC141" s="29"/>
      <c r="AD141" s="29"/>
      <c r="AE141" s="29"/>
      <c r="AF141" s="29"/>
      <c r="AG141" s="29"/>
      <c r="AH141" s="10" t="s">
        <v>52</v>
      </c>
      <c r="AI141" s="10"/>
      <c r="AJ141" s="10"/>
      <c r="AK141" s="10"/>
    </row>
    <row r="142" hidden="1">
      <c r="A142" s="10">
        <v>141.0</v>
      </c>
      <c r="B142" s="31">
        <v>45060.0</v>
      </c>
      <c r="C142" s="25">
        <v>0.0</v>
      </c>
      <c r="D142" s="25">
        <v>0.0</v>
      </c>
      <c r="E142" s="12" t="s">
        <v>37</v>
      </c>
      <c r="F142" s="32"/>
      <c r="G142" s="48"/>
      <c r="H142" s="21"/>
      <c r="I142" s="27">
        <v>29.0</v>
      </c>
      <c r="J142" s="28"/>
      <c r="K142" s="22">
        <v>45120.0</v>
      </c>
      <c r="L142" s="19" t="s">
        <v>38</v>
      </c>
      <c r="M142" s="31" t="s">
        <v>772</v>
      </c>
      <c r="N142" s="31" t="s">
        <v>773</v>
      </c>
      <c r="O142" s="31" t="s">
        <v>774</v>
      </c>
      <c r="P142" s="25">
        <v>61560.0</v>
      </c>
      <c r="Q142" s="12" t="s">
        <v>67</v>
      </c>
      <c r="R142" s="31" t="s">
        <v>775</v>
      </c>
      <c r="S142" s="25">
        <v>2550.0</v>
      </c>
      <c r="T142" s="31"/>
      <c r="U142" s="31" t="s">
        <v>776</v>
      </c>
      <c r="V142" s="31" t="s">
        <v>777</v>
      </c>
      <c r="W142" s="31" t="s">
        <v>778</v>
      </c>
      <c r="X142" s="31" t="s">
        <v>47</v>
      </c>
      <c r="Y142" s="31" t="s">
        <v>120</v>
      </c>
      <c r="Z142" s="31" t="s">
        <v>49</v>
      </c>
      <c r="AA142" s="31" t="s">
        <v>72</v>
      </c>
      <c r="AB142" s="31" t="s">
        <v>779</v>
      </c>
      <c r="AC142" s="32"/>
      <c r="AD142" s="32"/>
      <c r="AE142" s="32"/>
      <c r="AF142" s="31"/>
      <c r="AG142" s="29"/>
      <c r="AH142" s="10" t="s">
        <v>52</v>
      </c>
      <c r="AI142" s="10"/>
      <c r="AJ142" s="10"/>
      <c r="AK142" s="10"/>
    </row>
    <row r="143" hidden="1">
      <c r="A143" s="10">
        <v>142.0</v>
      </c>
      <c r="B143" s="46">
        <v>45098.0</v>
      </c>
      <c r="C143" s="25">
        <v>0.0</v>
      </c>
      <c r="D143" s="12">
        <f t="shared" ref="D143:D185" si="4">IF(C143-TODAY()&gt;0,C143-TODAY(),0)</f>
        <v>0</v>
      </c>
      <c r="E143" s="12" t="s">
        <v>37</v>
      </c>
      <c r="F143" s="25"/>
      <c r="G143" s="26"/>
      <c r="H143" s="49"/>
      <c r="I143" s="27">
        <v>1.0</v>
      </c>
      <c r="J143" s="28"/>
      <c r="K143" s="22">
        <v>45120.0</v>
      </c>
      <c r="L143" s="19" t="s">
        <v>270</v>
      </c>
      <c r="M143" s="25" t="s">
        <v>780</v>
      </c>
      <c r="N143" s="25">
        <v>5.70238791E8</v>
      </c>
      <c r="O143" s="25" t="s">
        <v>781</v>
      </c>
      <c r="P143" s="25">
        <v>189548.0</v>
      </c>
      <c r="Q143" s="25" t="s">
        <v>171</v>
      </c>
      <c r="R143" s="25" t="s">
        <v>549</v>
      </c>
      <c r="S143" s="32">
        <v>2200.0</v>
      </c>
      <c r="T143" s="25"/>
      <c r="U143" s="25" t="s">
        <v>782</v>
      </c>
      <c r="V143" s="25" t="s">
        <v>783</v>
      </c>
      <c r="W143" s="25" t="s">
        <v>784</v>
      </c>
      <c r="X143" s="25" t="s">
        <v>47</v>
      </c>
      <c r="Y143" s="25" t="s">
        <v>48</v>
      </c>
      <c r="Z143" s="25" t="s">
        <v>102</v>
      </c>
      <c r="AA143" s="25" t="s">
        <v>62</v>
      </c>
      <c r="AB143" s="25" t="s">
        <v>785</v>
      </c>
      <c r="AC143" s="25"/>
      <c r="AD143" s="25"/>
      <c r="AE143" s="25">
        <v>6157.68</v>
      </c>
      <c r="AF143" s="29"/>
      <c r="AG143" s="29"/>
      <c r="AH143" s="10" t="s">
        <v>52</v>
      </c>
      <c r="AI143" s="10"/>
      <c r="AJ143" s="10"/>
      <c r="AK143" s="10"/>
    </row>
    <row r="144" hidden="1">
      <c r="A144" s="10">
        <v>143.0</v>
      </c>
      <c r="B144" s="46">
        <v>45075.0</v>
      </c>
      <c r="C144" s="25">
        <v>0.0</v>
      </c>
      <c r="D144" s="12">
        <f t="shared" si="4"/>
        <v>0</v>
      </c>
      <c r="E144" s="12" t="s">
        <v>37</v>
      </c>
      <c r="F144" s="25"/>
      <c r="G144" s="26"/>
      <c r="H144" s="44"/>
      <c r="I144" s="27">
        <v>2.0</v>
      </c>
      <c r="J144" s="28"/>
      <c r="K144" s="22">
        <v>45123.0</v>
      </c>
      <c r="L144" s="19" t="s">
        <v>38</v>
      </c>
      <c r="M144" s="25" t="s">
        <v>786</v>
      </c>
      <c r="N144" s="25" t="s">
        <v>787</v>
      </c>
      <c r="O144" s="25" t="s">
        <v>788</v>
      </c>
      <c r="P144" s="25">
        <v>63198.0</v>
      </c>
      <c r="Q144" s="12" t="s">
        <v>42</v>
      </c>
      <c r="R144" s="25" t="s">
        <v>334</v>
      </c>
      <c r="S144" s="32">
        <v>1675.0</v>
      </c>
      <c r="T144" s="25"/>
      <c r="U144" s="25" t="s">
        <v>789</v>
      </c>
      <c r="V144" s="25"/>
      <c r="W144" s="29"/>
      <c r="X144" s="25" t="s">
        <v>47</v>
      </c>
      <c r="Y144" s="25" t="s">
        <v>48</v>
      </c>
      <c r="Z144" s="25" t="s">
        <v>49</v>
      </c>
      <c r="AA144" s="25" t="s">
        <v>50</v>
      </c>
      <c r="AB144" s="25" t="s">
        <v>138</v>
      </c>
      <c r="AC144" s="25"/>
      <c r="AD144" s="25"/>
      <c r="AE144" s="25">
        <v>6847.05</v>
      </c>
      <c r="AF144" s="25" t="s">
        <v>790</v>
      </c>
      <c r="AG144" s="29"/>
      <c r="AH144" s="10" t="s">
        <v>52</v>
      </c>
      <c r="AI144" s="10"/>
      <c r="AJ144" s="10"/>
      <c r="AK144" s="10"/>
    </row>
    <row r="145" hidden="1">
      <c r="A145" s="10">
        <v>144.0</v>
      </c>
      <c r="B145" s="31">
        <v>45081.0</v>
      </c>
      <c r="C145" s="25">
        <v>0.0</v>
      </c>
      <c r="D145" s="31">
        <f t="shared" si="4"/>
        <v>0</v>
      </c>
      <c r="E145" s="12" t="s">
        <v>37</v>
      </c>
      <c r="F145" s="25"/>
      <c r="G145" s="26"/>
      <c r="H145" s="21"/>
      <c r="I145" s="27">
        <v>1.0</v>
      </c>
      <c r="J145" s="28"/>
      <c r="K145" s="22">
        <v>45125.0</v>
      </c>
      <c r="L145" s="19" t="s">
        <v>53</v>
      </c>
      <c r="M145" s="31" t="s">
        <v>791</v>
      </c>
      <c r="N145" s="31" t="s">
        <v>792</v>
      </c>
      <c r="O145" s="31" t="s">
        <v>518</v>
      </c>
      <c r="P145" s="25">
        <v>62611.0</v>
      </c>
      <c r="Q145" s="12" t="s">
        <v>67</v>
      </c>
      <c r="R145" s="25" t="s">
        <v>111</v>
      </c>
      <c r="S145" s="25">
        <v>1850.0</v>
      </c>
      <c r="T145" s="31"/>
      <c r="U145" s="31" t="s">
        <v>793</v>
      </c>
      <c r="V145" s="31" t="s">
        <v>794</v>
      </c>
      <c r="W145" s="31"/>
      <c r="X145" s="31" t="s">
        <v>47</v>
      </c>
      <c r="Y145" s="31" t="s">
        <v>120</v>
      </c>
      <c r="Z145" s="31" t="s">
        <v>49</v>
      </c>
      <c r="AA145" s="31" t="s">
        <v>72</v>
      </c>
      <c r="AB145" s="31" t="s">
        <v>138</v>
      </c>
      <c r="AC145" s="25"/>
      <c r="AD145" s="25"/>
      <c r="AE145" s="25">
        <v>3055.28</v>
      </c>
      <c r="AF145" s="29"/>
      <c r="AG145" s="29"/>
      <c r="AH145" s="10" t="s">
        <v>52</v>
      </c>
      <c r="AI145" s="10"/>
      <c r="AJ145" s="10"/>
      <c r="AK145" s="10"/>
    </row>
    <row r="146" hidden="1">
      <c r="A146" s="10">
        <v>145.0</v>
      </c>
      <c r="B146" s="46">
        <v>45102.0</v>
      </c>
      <c r="C146" s="25">
        <v>0.0</v>
      </c>
      <c r="D146" s="12">
        <f t="shared" si="4"/>
        <v>0</v>
      </c>
      <c r="E146" s="12" t="s">
        <v>37</v>
      </c>
      <c r="F146" s="29"/>
      <c r="G146" s="30"/>
      <c r="H146" s="44"/>
      <c r="I146" s="27">
        <v>3.0</v>
      </c>
      <c r="J146" s="28"/>
      <c r="K146" s="22">
        <v>45129.0</v>
      </c>
      <c r="L146" s="23" t="s">
        <v>503</v>
      </c>
      <c r="M146" s="25" t="s">
        <v>795</v>
      </c>
      <c r="N146" s="25" t="s">
        <v>796</v>
      </c>
      <c r="O146" s="25" t="s">
        <v>797</v>
      </c>
      <c r="P146" s="25">
        <v>197920.0</v>
      </c>
      <c r="Q146" s="25" t="s">
        <v>171</v>
      </c>
      <c r="R146" s="25" t="s">
        <v>549</v>
      </c>
      <c r="S146" s="29"/>
      <c r="T146" s="25"/>
      <c r="U146" s="25" t="s">
        <v>798</v>
      </c>
      <c r="V146" s="25" t="s">
        <v>799</v>
      </c>
      <c r="W146" s="29"/>
      <c r="X146" s="25" t="s">
        <v>47</v>
      </c>
      <c r="Y146" s="25" t="s">
        <v>48</v>
      </c>
      <c r="Z146" s="25" t="s">
        <v>102</v>
      </c>
      <c r="AA146" s="25" t="s">
        <v>72</v>
      </c>
      <c r="AB146" s="25" t="s">
        <v>165</v>
      </c>
      <c r="AC146" s="29"/>
      <c r="AD146" s="29"/>
      <c r="AE146" s="29"/>
      <c r="AF146" s="29"/>
      <c r="AG146" s="29"/>
      <c r="AH146" s="10" t="s">
        <v>52</v>
      </c>
      <c r="AI146" s="10"/>
      <c r="AJ146" s="10"/>
      <c r="AK146" s="10"/>
    </row>
    <row r="147" hidden="1">
      <c r="A147" s="10">
        <v>146.0</v>
      </c>
      <c r="B147" s="46">
        <v>45106.0</v>
      </c>
      <c r="C147" s="25">
        <v>0.0</v>
      </c>
      <c r="D147" s="12">
        <f t="shared" si="4"/>
        <v>0</v>
      </c>
      <c r="E147" s="12" t="s">
        <v>37</v>
      </c>
      <c r="F147" s="25"/>
      <c r="G147" s="26"/>
      <c r="H147" s="45"/>
      <c r="I147" s="27">
        <v>4.0</v>
      </c>
      <c r="J147" s="28"/>
      <c r="K147" s="22">
        <v>45131.0</v>
      </c>
      <c r="L147" s="23" t="s">
        <v>503</v>
      </c>
      <c r="M147" s="25" t="s">
        <v>800</v>
      </c>
      <c r="N147" s="25" t="s">
        <v>801</v>
      </c>
      <c r="O147" s="25" t="s">
        <v>802</v>
      </c>
      <c r="P147" s="25">
        <v>195844.0</v>
      </c>
      <c r="Q147" s="25" t="s">
        <v>148</v>
      </c>
      <c r="R147" s="25" t="s">
        <v>149</v>
      </c>
      <c r="S147" s="29"/>
      <c r="T147" s="25"/>
      <c r="U147" s="25" t="s">
        <v>803</v>
      </c>
      <c r="V147" s="29"/>
      <c r="W147" s="25" t="s">
        <v>804</v>
      </c>
      <c r="X147" s="25" t="s">
        <v>47</v>
      </c>
      <c r="Y147" s="25" t="s">
        <v>48</v>
      </c>
      <c r="Z147" s="25" t="s">
        <v>102</v>
      </c>
      <c r="AA147" s="25" t="s">
        <v>72</v>
      </c>
      <c r="AB147" s="25" t="s">
        <v>165</v>
      </c>
      <c r="AC147" s="25"/>
      <c r="AD147" s="25"/>
      <c r="AE147" s="25">
        <v>21567.81</v>
      </c>
      <c r="AF147" s="29"/>
      <c r="AG147" s="29"/>
      <c r="AH147" s="10" t="s">
        <v>52</v>
      </c>
      <c r="AI147" s="10"/>
      <c r="AJ147" s="10"/>
      <c r="AK147" s="10"/>
    </row>
    <row r="148" hidden="1">
      <c r="A148" s="10">
        <v>147.0</v>
      </c>
      <c r="B148" s="46">
        <v>45108.0</v>
      </c>
      <c r="C148" s="25">
        <v>0.0</v>
      </c>
      <c r="D148" s="12">
        <f t="shared" si="4"/>
        <v>0</v>
      </c>
      <c r="E148" s="12" t="s">
        <v>37</v>
      </c>
      <c r="F148" s="25"/>
      <c r="G148" s="26"/>
      <c r="H148" s="44"/>
      <c r="I148" s="27">
        <v>5.0</v>
      </c>
      <c r="J148" s="28"/>
      <c r="K148" s="22">
        <v>45134.0</v>
      </c>
      <c r="L148" s="19" t="s">
        <v>270</v>
      </c>
      <c r="M148" s="25" t="s">
        <v>805</v>
      </c>
      <c r="N148" s="25" t="s">
        <v>806</v>
      </c>
      <c r="O148" s="25" t="s">
        <v>807</v>
      </c>
      <c r="P148" s="25">
        <v>200016.0</v>
      </c>
      <c r="Q148" s="12" t="s">
        <v>274</v>
      </c>
      <c r="R148" s="25" t="s">
        <v>275</v>
      </c>
      <c r="S148" s="32">
        <v>2070.0</v>
      </c>
      <c r="T148" s="25"/>
      <c r="U148" s="25" t="s">
        <v>808</v>
      </c>
      <c r="V148" s="25" t="s">
        <v>809</v>
      </c>
      <c r="W148" s="29"/>
      <c r="X148" s="25" t="s">
        <v>47</v>
      </c>
      <c r="Y148" s="25" t="s">
        <v>48</v>
      </c>
      <c r="Z148" s="25" t="s">
        <v>102</v>
      </c>
      <c r="AA148" s="25" t="s">
        <v>62</v>
      </c>
      <c r="AB148" s="25" t="s">
        <v>114</v>
      </c>
      <c r="AC148" s="25"/>
      <c r="AD148" s="25"/>
      <c r="AE148" s="25">
        <v>22117.06</v>
      </c>
      <c r="AF148" s="29"/>
      <c r="AG148" s="29"/>
      <c r="AH148" s="10" t="s">
        <v>52</v>
      </c>
      <c r="AI148" s="10"/>
      <c r="AJ148" s="10"/>
      <c r="AK148" s="10"/>
    </row>
    <row r="149" hidden="1">
      <c r="A149" s="10">
        <v>148.0</v>
      </c>
      <c r="B149" s="46">
        <v>45104.0</v>
      </c>
      <c r="C149" s="25">
        <v>0.0</v>
      </c>
      <c r="D149" s="12">
        <f t="shared" si="4"/>
        <v>0</v>
      </c>
      <c r="E149" s="12" t="s">
        <v>37</v>
      </c>
      <c r="F149" s="25"/>
      <c r="G149" s="26"/>
      <c r="H149" s="44"/>
      <c r="I149" s="27">
        <v>3.0</v>
      </c>
      <c r="J149" s="28"/>
      <c r="K149" s="22">
        <v>45136.0</v>
      </c>
      <c r="L149" s="23" t="s">
        <v>555</v>
      </c>
      <c r="M149" s="25" t="s">
        <v>810</v>
      </c>
      <c r="N149" s="25" t="s">
        <v>811</v>
      </c>
      <c r="O149" s="25" t="s">
        <v>558</v>
      </c>
      <c r="P149" s="25">
        <v>201981.0</v>
      </c>
      <c r="Q149" s="25" t="s">
        <v>477</v>
      </c>
      <c r="R149" s="25" t="s">
        <v>559</v>
      </c>
      <c r="S149" s="32">
        <v>220.0</v>
      </c>
      <c r="T149" s="25"/>
      <c r="U149" s="25" t="s">
        <v>812</v>
      </c>
      <c r="V149" s="25" t="s">
        <v>813</v>
      </c>
      <c r="W149" s="29"/>
      <c r="X149" s="25" t="s">
        <v>47</v>
      </c>
      <c r="Y149" s="25" t="s">
        <v>48</v>
      </c>
      <c r="Z149" s="25" t="s">
        <v>49</v>
      </c>
      <c r="AA149" s="25" t="s">
        <v>72</v>
      </c>
      <c r="AB149" s="25" t="s">
        <v>257</v>
      </c>
      <c r="AC149" s="25"/>
      <c r="AD149" s="25"/>
      <c r="AE149" s="25">
        <v>16220.59</v>
      </c>
      <c r="AF149" s="25" t="s">
        <v>814</v>
      </c>
      <c r="AG149" s="29"/>
      <c r="AH149" s="10" t="s">
        <v>52</v>
      </c>
      <c r="AI149" s="10"/>
      <c r="AJ149" s="10"/>
      <c r="AK149" s="10"/>
    </row>
    <row r="150" hidden="1">
      <c r="A150" s="10">
        <v>149.0</v>
      </c>
      <c r="B150" s="46">
        <v>45104.0</v>
      </c>
      <c r="C150" s="25">
        <v>0.0</v>
      </c>
      <c r="D150" s="12">
        <f t="shared" si="4"/>
        <v>0</v>
      </c>
      <c r="E150" s="12" t="s">
        <v>37</v>
      </c>
      <c r="F150" s="29"/>
      <c r="G150" s="30"/>
      <c r="H150" s="44"/>
      <c r="I150" s="27">
        <v>5.0</v>
      </c>
      <c r="J150" s="28"/>
      <c r="K150" s="22">
        <v>45136.0</v>
      </c>
      <c r="L150" s="23" t="s">
        <v>180</v>
      </c>
      <c r="M150" s="25" t="s">
        <v>815</v>
      </c>
      <c r="N150" s="25" t="s">
        <v>816</v>
      </c>
      <c r="O150" s="25" t="s">
        <v>704</v>
      </c>
      <c r="P150" s="25">
        <v>198561.0</v>
      </c>
      <c r="Q150" s="12" t="s">
        <v>80</v>
      </c>
      <c r="R150" s="12" t="s">
        <v>183</v>
      </c>
      <c r="S150" s="32">
        <v>1330.0</v>
      </c>
      <c r="T150" s="25"/>
      <c r="U150" s="25" t="s">
        <v>817</v>
      </c>
      <c r="V150" s="25" t="s">
        <v>818</v>
      </c>
      <c r="W150" s="29"/>
      <c r="X150" s="25" t="s">
        <v>47</v>
      </c>
      <c r="Y150" s="25" t="s">
        <v>48</v>
      </c>
      <c r="Z150" s="25" t="s">
        <v>102</v>
      </c>
      <c r="AA150" s="25" t="s">
        <v>72</v>
      </c>
      <c r="AB150" s="25" t="s">
        <v>719</v>
      </c>
      <c r="AC150" s="29"/>
      <c r="AD150" s="29"/>
      <c r="AE150" s="29"/>
      <c r="AF150" s="29"/>
      <c r="AG150" s="29"/>
      <c r="AH150" s="10" t="s">
        <v>52</v>
      </c>
      <c r="AI150" s="10"/>
      <c r="AJ150" s="10"/>
      <c r="AK150" s="10"/>
    </row>
    <row r="151" hidden="1">
      <c r="A151" s="10">
        <v>150.0</v>
      </c>
      <c r="B151" s="46">
        <v>45057.0</v>
      </c>
      <c r="C151" s="25">
        <v>0.0</v>
      </c>
      <c r="D151" s="12">
        <f t="shared" si="4"/>
        <v>0</v>
      </c>
      <c r="E151" s="12" t="s">
        <v>37</v>
      </c>
      <c r="F151" s="25"/>
      <c r="G151" s="26"/>
      <c r="H151" s="44"/>
      <c r="I151" s="27">
        <v>2.0</v>
      </c>
      <c r="J151" s="28"/>
      <c r="K151" s="22">
        <v>45138.0</v>
      </c>
      <c r="L151" s="23" t="s">
        <v>157</v>
      </c>
      <c r="M151" s="25" t="s">
        <v>819</v>
      </c>
      <c r="N151" s="42">
        <v>5.70240078E8</v>
      </c>
      <c r="O151" s="25" t="s">
        <v>66</v>
      </c>
      <c r="P151" s="25">
        <v>71109.0</v>
      </c>
      <c r="Q151" s="25" t="s">
        <v>160</v>
      </c>
      <c r="R151" s="25" t="s">
        <v>161</v>
      </c>
      <c r="S151" s="32"/>
      <c r="T151" s="25"/>
      <c r="U151" s="25" t="s">
        <v>820</v>
      </c>
      <c r="V151" s="25" t="s">
        <v>821</v>
      </c>
      <c r="W151" s="29"/>
      <c r="X151" s="25" t="s">
        <v>47</v>
      </c>
      <c r="Y151" s="25" t="s">
        <v>48</v>
      </c>
      <c r="Z151" s="25" t="s">
        <v>92</v>
      </c>
      <c r="AA151" s="25" t="s">
        <v>72</v>
      </c>
      <c r="AB151" s="25" t="s">
        <v>165</v>
      </c>
      <c r="AC151" s="25"/>
      <c r="AD151" s="25"/>
      <c r="AE151" s="25">
        <v>14692.96</v>
      </c>
      <c r="AF151" s="25"/>
      <c r="AG151" s="29"/>
      <c r="AH151" s="10" t="s">
        <v>52</v>
      </c>
      <c r="AI151" s="10"/>
      <c r="AJ151" s="10"/>
      <c r="AK151" s="10"/>
    </row>
    <row r="152" hidden="1">
      <c r="A152" s="10">
        <v>151.0</v>
      </c>
      <c r="B152" s="46">
        <v>45102.0</v>
      </c>
      <c r="C152" s="25">
        <v>0.0</v>
      </c>
      <c r="D152" s="12">
        <f t="shared" si="4"/>
        <v>0</v>
      </c>
      <c r="E152" s="12" t="s">
        <v>37</v>
      </c>
      <c r="F152" s="25"/>
      <c r="G152" s="26"/>
      <c r="H152" s="44"/>
      <c r="I152" s="27">
        <v>1.0</v>
      </c>
      <c r="J152" s="28"/>
      <c r="K152" s="22">
        <v>45138.0</v>
      </c>
      <c r="L152" s="19" t="s">
        <v>38</v>
      </c>
      <c r="M152" s="25" t="s">
        <v>822</v>
      </c>
      <c r="N152" s="25" t="s">
        <v>823</v>
      </c>
      <c r="O152" s="25" t="s">
        <v>824</v>
      </c>
      <c r="P152" s="25">
        <v>70243.0</v>
      </c>
      <c r="Q152" s="12" t="s">
        <v>67</v>
      </c>
      <c r="R152" s="25" t="s">
        <v>111</v>
      </c>
      <c r="S152" s="32">
        <v>1695.0</v>
      </c>
      <c r="T152" s="25"/>
      <c r="U152" s="25" t="s">
        <v>825</v>
      </c>
      <c r="V152" s="25" t="s">
        <v>826</v>
      </c>
      <c r="W152" s="29" t="s">
        <v>827</v>
      </c>
      <c r="X152" s="25" t="s">
        <v>47</v>
      </c>
      <c r="Y152" s="25" t="s">
        <v>120</v>
      </c>
      <c r="Z152" s="25" t="s">
        <v>49</v>
      </c>
      <c r="AA152" s="25" t="s">
        <v>72</v>
      </c>
      <c r="AB152" s="25" t="s">
        <v>739</v>
      </c>
      <c r="AC152" s="25"/>
      <c r="AD152" s="25"/>
      <c r="AE152" s="25">
        <v>3129.37</v>
      </c>
      <c r="AF152" s="25" t="s">
        <v>828</v>
      </c>
      <c r="AG152" s="29"/>
      <c r="AH152" s="10" t="s">
        <v>52</v>
      </c>
      <c r="AI152" s="10"/>
      <c r="AJ152" s="10"/>
      <c r="AK152" s="10"/>
    </row>
    <row r="153" hidden="1">
      <c r="A153" s="10">
        <v>152.0</v>
      </c>
      <c r="B153" s="46">
        <v>45106.0</v>
      </c>
      <c r="C153" s="25">
        <v>0.0</v>
      </c>
      <c r="D153" s="12">
        <f t="shared" si="4"/>
        <v>0</v>
      </c>
      <c r="E153" s="12" t="s">
        <v>37</v>
      </c>
      <c r="F153" s="25"/>
      <c r="G153" s="26"/>
      <c r="H153" s="44"/>
      <c r="I153" s="27">
        <v>1.0</v>
      </c>
      <c r="J153" s="28"/>
      <c r="K153" s="22">
        <v>45138.0</v>
      </c>
      <c r="L153" s="19" t="s">
        <v>270</v>
      </c>
      <c r="M153" s="25" t="s">
        <v>829</v>
      </c>
      <c r="N153" s="25">
        <v>5.70240078E8</v>
      </c>
      <c r="O153" s="25" t="s">
        <v>830</v>
      </c>
      <c r="P153" s="25">
        <v>206699.0</v>
      </c>
      <c r="Q153" s="12" t="s">
        <v>274</v>
      </c>
      <c r="R153" s="25" t="s">
        <v>275</v>
      </c>
      <c r="S153" s="32">
        <v>2070.0</v>
      </c>
      <c r="T153" s="25"/>
      <c r="U153" s="25" t="s">
        <v>831</v>
      </c>
      <c r="V153" s="29" t="s">
        <v>832</v>
      </c>
      <c r="W153" s="29"/>
      <c r="X153" s="25" t="s">
        <v>47</v>
      </c>
      <c r="Y153" s="25" t="s">
        <v>48</v>
      </c>
      <c r="Z153" s="25" t="s">
        <v>102</v>
      </c>
      <c r="AA153" s="25" t="s">
        <v>62</v>
      </c>
      <c r="AB153" s="25" t="s">
        <v>114</v>
      </c>
      <c r="AC153" s="25"/>
      <c r="AD153" s="25"/>
      <c r="AE153" s="25">
        <v>6219.76</v>
      </c>
      <c r="AF153" s="25"/>
      <c r="AG153" s="29"/>
      <c r="AH153" s="10" t="s">
        <v>52</v>
      </c>
      <c r="AI153" s="10"/>
      <c r="AJ153" s="10"/>
      <c r="AK153" s="10"/>
    </row>
    <row r="154" hidden="1">
      <c r="A154" s="10">
        <v>153.0</v>
      </c>
      <c r="B154" s="46">
        <v>45118.0</v>
      </c>
      <c r="C154" s="25">
        <v>0.0</v>
      </c>
      <c r="D154" s="12">
        <f t="shared" si="4"/>
        <v>0</v>
      </c>
      <c r="E154" s="12" t="s">
        <v>37</v>
      </c>
      <c r="F154" s="25"/>
      <c r="G154" s="26"/>
      <c r="H154" s="39"/>
      <c r="I154" s="27">
        <v>1.0</v>
      </c>
      <c r="J154" s="28"/>
      <c r="K154" s="22">
        <v>45143.0</v>
      </c>
      <c r="L154" s="23" t="s">
        <v>555</v>
      </c>
      <c r="M154" s="25" t="s">
        <v>833</v>
      </c>
      <c r="N154" s="25">
        <v>2.300000273E9</v>
      </c>
      <c r="O154" s="25" t="s">
        <v>558</v>
      </c>
      <c r="P154" s="25">
        <v>213961.0</v>
      </c>
      <c r="Q154" s="12" t="s">
        <v>80</v>
      </c>
      <c r="R154" s="25" t="s">
        <v>755</v>
      </c>
      <c r="S154" s="35">
        <v>1000.0</v>
      </c>
      <c r="T154" s="25"/>
      <c r="U154" s="25" t="s">
        <v>834</v>
      </c>
      <c r="V154" s="25" t="s">
        <v>835</v>
      </c>
      <c r="W154" s="29"/>
      <c r="X154" s="25" t="s">
        <v>47</v>
      </c>
      <c r="Y154" s="25" t="s">
        <v>48</v>
      </c>
      <c r="Z154" s="25" t="s">
        <v>49</v>
      </c>
      <c r="AA154" s="25" t="s">
        <v>72</v>
      </c>
      <c r="AB154" s="25" t="s">
        <v>114</v>
      </c>
      <c r="AC154" s="25"/>
      <c r="AD154" s="25"/>
      <c r="AE154" s="25">
        <v>5639.12</v>
      </c>
      <c r="AF154" s="29"/>
      <c r="AG154" s="29"/>
      <c r="AH154" s="10" t="s">
        <v>52</v>
      </c>
      <c r="AI154" s="10"/>
      <c r="AJ154" s="10"/>
      <c r="AK154" s="10"/>
    </row>
    <row r="155" hidden="1">
      <c r="A155" s="10">
        <v>154.0</v>
      </c>
      <c r="B155" s="46">
        <v>45124.0</v>
      </c>
      <c r="C155" s="25">
        <v>0.0</v>
      </c>
      <c r="D155" s="12">
        <f t="shared" si="4"/>
        <v>0</v>
      </c>
      <c r="E155" s="12" t="s">
        <v>37</v>
      </c>
      <c r="F155" s="25"/>
      <c r="G155" s="26"/>
      <c r="H155" s="44"/>
      <c r="I155" s="27">
        <v>18.0</v>
      </c>
      <c r="J155" s="28"/>
      <c r="K155" s="22">
        <v>45149.0</v>
      </c>
      <c r="L155" s="23" t="s">
        <v>836</v>
      </c>
      <c r="M155" s="25" t="s">
        <v>837</v>
      </c>
      <c r="N155" s="25" t="s">
        <v>838</v>
      </c>
      <c r="O155" s="25" t="s">
        <v>839</v>
      </c>
      <c r="P155" s="25">
        <v>211503.0</v>
      </c>
      <c r="Q155" s="25" t="s">
        <v>477</v>
      </c>
      <c r="R155" s="25" t="s">
        <v>559</v>
      </c>
      <c r="S155" s="32">
        <v>1400.0</v>
      </c>
      <c r="T155" s="25"/>
      <c r="U155" s="25" t="s">
        <v>840</v>
      </c>
      <c r="V155" s="25" t="s">
        <v>841</v>
      </c>
      <c r="W155" s="29"/>
      <c r="X155" s="25" t="s">
        <v>47</v>
      </c>
      <c r="Y155" s="25" t="s">
        <v>48</v>
      </c>
      <c r="Z155" s="25" t="s">
        <v>102</v>
      </c>
      <c r="AA155" s="25" t="s">
        <v>72</v>
      </c>
      <c r="AB155" s="25" t="s">
        <v>719</v>
      </c>
      <c r="AC155" s="25"/>
      <c r="AD155" s="25"/>
      <c r="AE155" s="25"/>
      <c r="AF155" s="25" t="s">
        <v>842</v>
      </c>
      <c r="AG155" s="29"/>
      <c r="AH155" s="10" t="s">
        <v>52</v>
      </c>
      <c r="AI155" s="10"/>
      <c r="AJ155" s="10"/>
      <c r="AK155" s="10"/>
    </row>
    <row r="156" hidden="1">
      <c r="A156" s="10">
        <v>155.0</v>
      </c>
      <c r="B156" s="46">
        <v>45131.0</v>
      </c>
      <c r="C156" s="25">
        <v>0.0</v>
      </c>
      <c r="D156" s="12">
        <f t="shared" si="4"/>
        <v>0</v>
      </c>
      <c r="E156" s="12" t="s">
        <v>37</v>
      </c>
      <c r="F156" s="25"/>
      <c r="G156" s="26"/>
      <c r="H156" s="21"/>
      <c r="I156" s="27">
        <v>10.0</v>
      </c>
      <c r="J156" s="28"/>
      <c r="K156" s="22">
        <v>45152.0</v>
      </c>
      <c r="L156" s="23" t="s">
        <v>555</v>
      </c>
      <c r="M156" s="25" t="s">
        <v>843</v>
      </c>
      <c r="N156" s="25" t="s">
        <v>844</v>
      </c>
      <c r="O156" s="25" t="s">
        <v>845</v>
      </c>
      <c r="P156" s="25">
        <v>218280.0</v>
      </c>
      <c r="Q156" s="25" t="s">
        <v>477</v>
      </c>
      <c r="R156" s="25" t="s">
        <v>559</v>
      </c>
      <c r="S156" s="32">
        <v>1400.0</v>
      </c>
      <c r="T156" s="25"/>
      <c r="U156" s="25" t="s">
        <v>846</v>
      </c>
      <c r="V156" s="25" t="s">
        <v>847</v>
      </c>
      <c r="W156" s="29"/>
      <c r="X156" s="25" t="s">
        <v>47</v>
      </c>
      <c r="Y156" s="25" t="s">
        <v>848</v>
      </c>
      <c r="Z156" s="25" t="s">
        <v>102</v>
      </c>
      <c r="AA156" s="25" t="s">
        <v>72</v>
      </c>
      <c r="AB156" s="25" t="s">
        <v>719</v>
      </c>
      <c r="AC156" s="25"/>
      <c r="AD156" s="25"/>
      <c r="AE156" s="25">
        <v>53108.58</v>
      </c>
      <c r="AF156" s="25" t="s">
        <v>842</v>
      </c>
      <c r="AG156" s="29"/>
      <c r="AH156" s="10" t="s">
        <v>52</v>
      </c>
      <c r="AI156" s="10"/>
      <c r="AJ156" s="10"/>
      <c r="AK156" s="10"/>
    </row>
    <row r="157" hidden="1">
      <c r="A157" s="10">
        <v>156.0</v>
      </c>
      <c r="B157" s="46">
        <v>45087.0</v>
      </c>
      <c r="C157" s="25">
        <v>0.0</v>
      </c>
      <c r="D157" s="12">
        <f t="shared" si="4"/>
        <v>0</v>
      </c>
      <c r="E157" s="12" t="s">
        <v>37</v>
      </c>
      <c r="F157" s="25"/>
      <c r="G157" s="26"/>
      <c r="H157" s="21"/>
      <c r="I157" s="27">
        <v>3.0</v>
      </c>
      <c r="J157" s="28"/>
      <c r="K157" s="22">
        <v>45154.0</v>
      </c>
      <c r="L157" s="23" t="s">
        <v>157</v>
      </c>
      <c r="M157" s="25" t="s">
        <v>849</v>
      </c>
      <c r="N157" s="25" t="s">
        <v>850</v>
      </c>
      <c r="O157" s="25" t="s">
        <v>66</v>
      </c>
      <c r="P157" s="25">
        <v>76671.0</v>
      </c>
      <c r="Q157" s="25" t="s">
        <v>160</v>
      </c>
      <c r="R157" s="25" t="s">
        <v>161</v>
      </c>
      <c r="S157" s="29"/>
      <c r="T157" s="25"/>
      <c r="U157" s="25" t="s">
        <v>851</v>
      </c>
      <c r="V157" s="25" t="s">
        <v>852</v>
      </c>
      <c r="W157" s="29"/>
      <c r="X157" s="25" t="s">
        <v>47</v>
      </c>
      <c r="Y157" s="25" t="s">
        <v>48</v>
      </c>
      <c r="Z157" s="25" t="s">
        <v>92</v>
      </c>
      <c r="AA157" s="25" t="s">
        <v>72</v>
      </c>
      <c r="AB157" s="25" t="s">
        <v>165</v>
      </c>
      <c r="AC157" s="25"/>
      <c r="AD157" s="25"/>
      <c r="AE157" s="25">
        <v>17871.89</v>
      </c>
      <c r="AF157" s="29"/>
      <c r="AG157" s="29"/>
      <c r="AH157" s="10" t="s">
        <v>52</v>
      </c>
      <c r="AI157" s="10"/>
      <c r="AJ157" s="10"/>
      <c r="AK157" s="10"/>
    </row>
    <row r="158" hidden="1">
      <c r="A158" s="10">
        <v>157.0</v>
      </c>
      <c r="B158" s="46">
        <v>45131.0</v>
      </c>
      <c r="C158" s="25">
        <v>0.0</v>
      </c>
      <c r="D158" s="12">
        <f t="shared" si="4"/>
        <v>0</v>
      </c>
      <c r="E158" s="12" t="s">
        <v>37</v>
      </c>
      <c r="F158" s="25"/>
      <c r="G158" s="26"/>
      <c r="H158" s="21"/>
      <c r="I158" s="27">
        <v>6.0</v>
      </c>
      <c r="J158" s="28"/>
      <c r="K158" s="22">
        <v>45157.0</v>
      </c>
      <c r="L158" s="23" t="s">
        <v>503</v>
      </c>
      <c r="M158" s="25" t="s">
        <v>853</v>
      </c>
      <c r="N158" s="25" t="s">
        <v>854</v>
      </c>
      <c r="O158" s="25" t="s">
        <v>855</v>
      </c>
      <c r="P158" s="25">
        <v>227970.0</v>
      </c>
      <c r="Q158" s="25" t="s">
        <v>171</v>
      </c>
      <c r="R158" s="25" t="s">
        <v>549</v>
      </c>
      <c r="S158" s="29"/>
      <c r="T158" s="25"/>
      <c r="U158" s="25" t="s">
        <v>856</v>
      </c>
      <c r="V158" s="29"/>
      <c r="W158" s="25">
        <v>9.23003213E8</v>
      </c>
      <c r="X158" s="25" t="s">
        <v>47</v>
      </c>
      <c r="Y158" s="25" t="s">
        <v>48</v>
      </c>
      <c r="Z158" s="25" t="s">
        <v>102</v>
      </c>
      <c r="AA158" s="25" t="s">
        <v>72</v>
      </c>
      <c r="AB158" s="25" t="s">
        <v>165</v>
      </c>
      <c r="AC158" s="25"/>
      <c r="AD158" s="25"/>
      <c r="AE158" s="25">
        <v>34902.44</v>
      </c>
      <c r="AF158" s="29"/>
      <c r="AG158" s="29"/>
      <c r="AH158" s="10" t="s">
        <v>52</v>
      </c>
      <c r="AI158" s="10"/>
      <c r="AJ158" s="10"/>
      <c r="AK158" s="10"/>
    </row>
    <row r="159" hidden="1">
      <c r="A159" s="10">
        <v>158.0</v>
      </c>
      <c r="B159" s="46">
        <v>45137.0</v>
      </c>
      <c r="C159" s="25">
        <v>0.0</v>
      </c>
      <c r="D159" s="12">
        <f t="shared" si="4"/>
        <v>0</v>
      </c>
      <c r="E159" s="12" t="s">
        <v>37</v>
      </c>
      <c r="F159" s="25"/>
      <c r="G159" s="26"/>
      <c r="H159" s="21"/>
      <c r="I159" s="27">
        <v>4.0</v>
      </c>
      <c r="J159" s="28"/>
      <c r="K159" s="22">
        <v>45160.0</v>
      </c>
      <c r="L159" s="23" t="s">
        <v>503</v>
      </c>
      <c r="M159" s="25" t="s">
        <v>800</v>
      </c>
      <c r="N159" s="25" t="s">
        <v>857</v>
      </c>
      <c r="O159" s="25" t="s">
        <v>858</v>
      </c>
      <c r="P159" s="25">
        <v>226642.0</v>
      </c>
      <c r="Q159" s="25" t="s">
        <v>148</v>
      </c>
      <c r="R159" s="25" t="s">
        <v>149</v>
      </c>
      <c r="S159" s="29"/>
      <c r="T159" s="25"/>
      <c r="U159" s="25" t="s">
        <v>859</v>
      </c>
      <c r="V159" s="25" t="s">
        <v>860</v>
      </c>
      <c r="W159" s="29"/>
      <c r="X159" s="25" t="s">
        <v>47</v>
      </c>
      <c r="Y159" s="25" t="s">
        <v>48</v>
      </c>
      <c r="Z159" s="25" t="s">
        <v>102</v>
      </c>
      <c r="AA159" s="25" t="s">
        <v>72</v>
      </c>
      <c r="AB159" s="25" t="s">
        <v>165</v>
      </c>
      <c r="AC159" s="25"/>
      <c r="AD159" s="25"/>
      <c r="AE159" s="25">
        <v>21567.81</v>
      </c>
      <c r="AF159" s="29"/>
      <c r="AG159" s="29"/>
      <c r="AH159" s="10" t="s">
        <v>52</v>
      </c>
      <c r="AI159" s="10"/>
      <c r="AJ159" s="10"/>
      <c r="AK159" s="10"/>
    </row>
    <row r="160" hidden="1">
      <c r="A160" s="10">
        <v>159.0</v>
      </c>
      <c r="B160" s="38">
        <v>45139.0</v>
      </c>
      <c r="C160" s="25">
        <v>0.0</v>
      </c>
      <c r="D160" s="12">
        <f t="shared" si="4"/>
        <v>0</v>
      </c>
      <c r="E160" s="12" t="s">
        <v>37</v>
      </c>
      <c r="F160" s="29"/>
      <c r="G160" s="30"/>
      <c r="H160" s="21"/>
      <c r="I160" s="27">
        <v>2.0</v>
      </c>
      <c r="J160" s="28"/>
      <c r="K160" s="22">
        <v>45160.0</v>
      </c>
      <c r="L160" s="23" t="s">
        <v>242</v>
      </c>
      <c r="M160" s="25" t="s">
        <v>861</v>
      </c>
      <c r="N160" s="25" t="s">
        <v>862</v>
      </c>
      <c r="O160" s="25" t="s">
        <v>863</v>
      </c>
      <c r="P160" s="25">
        <v>229509.0</v>
      </c>
      <c r="Q160" s="25" t="s">
        <v>864</v>
      </c>
      <c r="R160" s="25" t="s">
        <v>865</v>
      </c>
      <c r="S160" s="32">
        <v>1850.0</v>
      </c>
      <c r="T160" s="25"/>
      <c r="U160" s="25" t="s">
        <v>866</v>
      </c>
      <c r="V160" s="25" t="s">
        <v>867</v>
      </c>
      <c r="W160" s="29"/>
      <c r="X160" s="25" t="s">
        <v>47</v>
      </c>
      <c r="Y160" s="25" t="s">
        <v>48</v>
      </c>
      <c r="Z160" s="25" t="s">
        <v>102</v>
      </c>
      <c r="AA160" s="25" t="s">
        <v>72</v>
      </c>
      <c r="AB160" s="25" t="s">
        <v>114</v>
      </c>
      <c r="AC160" s="29"/>
      <c r="AD160" s="29"/>
      <c r="AE160" s="29"/>
      <c r="AF160" s="29"/>
      <c r="AG160" s="29"/>
      <c r="AH160" s="10" t="s">
        <v>52</v>
      </c>
      <c r="AI160" s="10"/>
      <c r="AJ160" s="10"/>
      <c r="AK160" s="10"/>
    </row>
    <row r="161" hidden="1">
      <c r="A161" s="10">
        <v>160.0</v>
      </c>
      <c r="B161" s="46">
        <v>45130.0</v>
      </c>
      <c r="C161" s="25">
        <v>0.0</v>
      </c>
      <c r="D161" s="12">
        <f t="shared" si="4"/>
        <v>0</v>
      </c>
      <c r="E161" s="12" t="s">
        <v>37</v>
      </c>
      <c r="F161" s="25"/>
      <c r="G161" s="26"/>
      <c r="H161" s="21"/>
      <c r="I161" s="27">
        <v>1.0</v>
      </c>
      <c r="J161" s="28"/>
      <c r="K161" s="22">
        <v>45162.0</v>
      </c>
      <c r="L161" s="23" t="s">
        <v>590</v>
      </c>
      <c r="M161" s="25" t="s">
        <v>868</v>
      </c>
      <c r="N161" s="25">
        <v>9.0001962E7</v>
      </c>
      <c r="O161" s="29"/>
      <c r="P161" s="25">
        <v>231965.0</v>
      </c>
      <c r="Q161" s="25" t="s">
        <v>171</v>
      </c>
      <c r="R161" s="25" t="s">
        <v>594</v>
      </c>
      <c r="S161" s="35">
        <v>1350.0</v>
      </c>
      <c r="T161" s="25"/>
      <c r="U161" s="25" t="s">
        <v>869</v>
      </c>
      <c r="V161" s="25" t="s">
        <v>870</v>
      </c>
      <c r="W161" s="29"/>
      <c r="X161" s="25" t="s">
        <v>47</v>
      </c>
      <c r="Y161" s="25" t="s">
        <v>120</v>
      </c>
      <c r="Z161" s="25" t="s">
        <v>102</v>
      </c>
      <c r="AA161" s="25" t="s">
        <v>72</v>
      </c>
      <c r="AB161" s="25" t="s">
        <v>687</v>
      </c>
      <c r="AC161" s="25"/>
      <c r="AD161" s="25"/>
      <c r="AE161" s="25">
        <v>5415.0</v>
      </c>
      <c r="AF161" s="29"/>
      <c r="AG161" s="29"/>
      <c r="AH161" s="10" t="s">
        <v>52</v>
      </c>
      <c r="AI161" s="10"/>
      <c r="AJ161" s="10"/>
      <c r="AK161" s="10"/>
    </row>
    <row r="162" hidden="1">
      <c r="A162" s="10">
        <v>161.0</v>
      </c>
      <c r="B162" s="46">
        <v>45137.0</v>
      </c>
      <c r="C162" s="25">
        <v>0.0</v>
      </c>
      <c r="D162" s="12">
        <f t="shared" si="4"/>
        <v>0</v>
      </c>
      <c r="E162" s="12" t="s">
        <v>37</v>
      </c>
      <c r="F162" s="25"/>
      <c r="G162" s="26"/>
      <c r="H162" s="21"/>
      <c r="I162" s="27">
        <v>1.0</v>
      </c>
      <c r="J162" s="28"/>
      <c r="K162" s="22">
        <v>45162.0</v>
      </c>
      <c r="L162" s="23" t="s">
        <v>168</v>
      </c>
      <c r="M162" s="25" t="s">
        <v>871</v>
      </c>
      <c r="N162" s="25">
        <v>523395.0</v>
      </c>
      <c r="O162" s="25" t="s">
        <v>872</v>
      </c>
      <c r="P162" s="25">
        <v>231921.0</v>
      </c>
      <c r="Q162" s="25" t="s">
        <v>171</v>
      </c>
      <c r="R162" s="25" t="s">
        <v>172</v>
      </c>
      <c r="S162" s="35">
        <v>1415.0</v>
      </c>
      <c r="T162" s="25"/>
      <c r="U162" s="25" t="s">
        <v>873</v>
      </c>
      <c r="V162" s="25" t="s">
        <v>874</v>
      </c>
      <c r="W162" s="29"/>
      <c r="X162" s="25" t="s">
        <v>47</v>
      </c>
      <c r="Y162" s="25" t="s">
        <v>48</v>
      </c>
      <c r="Z162" s="25" t="s">
        <v>102</v>
      </c>
      <c r="AA162" s="25" t="s">
        <v>72</v>
      </c>
      <c r="AB162" s="25" t="s">
        <v>687</v>
      </c>
      <c r="AC162" s="25"/>
      <c r="AD162" s="25"/>
      <c r="AE162" s="25">
        <v>5673.62</v>
      </c>
      <c r="AF162" s="29"/>
      <c r="AG162" s="29"/>
      <c r="AH162" s="10" t="s">
        <v>52</v>
      </c>
      <c r="AI162" s="10"/>
      <c r="AJ162" s="10"/>
      <c r="AK162" s="10"/>
    </row>
    <row r="163" hidden="1">
      <c r="A163" s="10">
        <v>162.0</v>
      </c>
      <c r="B163" s="31">
        <v>45137.0</v>
      </c>
      <c r="C163" s="25">
        <v>0.0</v>
      </c>
      <c r="D163" s="12">
        <f t="shared" si="4"/>
        <v>0</v>
      </c>
      <c r="E163" s="12" t="s">
        <v>37</v>
      </c>
      <c r="F163" s="25"/>
      <c r="G163" s="26"/>
      <c r="H163" s="39"/>
      <c r="I163" s="27">
        <v>1.0</v>
      </c>
      <c r="J163" s="28"/>
      <c r="K163" s="22">
        <v>45164.0</v>
      </c>
      <c r="L163" s="23" t="s">
        <v>78</v>
      </c>
      <c r="M163" s="25" t="s">
        <v>875</v>
      </c>
      <c r="N163" s="50" t="s">
        <v>876</v>
      </c>
      <c r="O163" s="25"/>
      <c r="P163" s="25">
        <v>227976.0</v>
      </c>
      <c r="Q163" s="12" t="s">
        <v>80</v>
      </c>
      <c r="R163" s="12" t="s">
        <v>81</v>
      </c>
      <c r="S163" s="32">
        <v>625.0</v>
      </c>
      <c r="T163" s="25"/>
      <c r="U163" s="25" t="s">
        <v>877</v>
      </c>
      <c r="V163" s="25" t="s">
        <v>878</v>
      </c>
      <c r="W163" s="29"/>
      <c r="X163" s="25" t="s">
        <v>47</v>
      </c>
      <c r="Y163" s="25" t="s">
        <v>48</v>
      </c>
      <c r="Z163" s="25" t="s">
        <v>49</v>
      </c>
      <c r="AA163" s="25" t="s">
        <v>879</v>
      </c>
      <c r="AB163" s="25" t="s">
        <v>739</v>
      </c>
      <c r="AC163" s="25"/>
      <c r="AD163" s="25"/>
      <c r="AE163" s="25">
        <v>7483.63</v>
      </c>
      <c r="AF163" s="25"/>
      <c r="AG163" s="29"/>
      <c r="AH163" s="10" t="s">
        <v>52</v>
      </c>
      <c r="AI163" s="10"/>
      <c r="AJ163" s="10"/>
      <c r="AK163" s="10"/>
    </row>
    <row r="164" hidden="1">
      <c r="A164" s="10">
        <v>163.0</v>
      </c>
      <c r="B164" s="31">
        <v>45140.0</v>
      </c>
      <c r="C164" s="25">
        <v>0.0</v>
      </c>
      <c r="D164" s="12">
        <f t="shared" si="4"/>
        <v>0</v>
      </c>
      <c r="E164" s="12" t="s">
        <v>37</v>
      </c>
      <c r="F164" s="25"/>
      <c r="G164" s="26"/>
      <c r="H164" s="39"/>
      <c r="I164" s="27">
        <v>2.0</v>
      </c>
      <c r="J164" s="28"/>
      <c r="K164" s="22">
        <v>45171.0</v>
      </c>
      <c r="L164" s="23" t="s">
        <v>503</v>
      </c>
      <c r="M164" s="25" t="s">
        <v>547</v>
      </c>
      <c r="N164" s="25" t="s">
        <v>880</v>
      </c>
      <c r="O164" s="25" t="s">
        <v>881</v>
      </c>
      <c r="P164" s="25">
        <v>240223.0</v>
      </c>
      <c r="Q164" s="25" t="s">
        <v>171</v>
      </c>
      <c r="R164" s="25" t="s">
        <v>549</v>
      </c>
      <c r="S164" s="35">
        <v>1675.0</v>
      </c>
      <c r="T164" s="25"/>
      <c r="U164" s="25" t="s">
        <v>882</v>
      </c>
      <c r="V164" s="25" t="s">
        <v>883</v>
      </c>
      <c r="W164" s="29"/>
      <c r="X164" s="25" t="s">
        <v>47</v>
      </c>
      <c r="Y164" s="25" t="s">
        <v>48</v>
      </c>
      <c r="Z164" s="25" t="s">
        <v>102</v>
      </c>
      <c r="AA164" s="25" t="s">
        <v>72</v>
      </c>
      <c r="AB164" s="25" t="s">
        <v>165</v>
      </c>
      <c r="AC164" s="25"/>
      <c r="AD164" s="25"/>
      <c r="AE164" s="25">
        <v>11197.64</v>
      </c>
      <c r="AF164" s="29"/>
      <c r="AG164" s="29"/>
      <c r="AH164" s="10" t="s">
        <v>52</v>
      </c>
      <c r="AI164" s="10"/>
      <c r="AJ164" s="10"/>
      <c r="AK164" s="10"/>
    </row>
    <row r="165" hidden="1">
      <c r="A165" s="10">
        <v>164.0</v>
      </c>
      <c r="B165" s="38">
        <v>45141.0</v>
      </c>
      <c r="C165" s="25">
        <v>0.0</v>
      </c>
      <c r="D165" s="12">
        <f t="shared" si="4"/>
        <v>0</v>
      </c>
      <c r="E165" s="12" t="s">
        <v>37</v>
      </c>
      <c r="F165" s="25"/>
      <c r="G165" s="26"/>
      <c r="H165" s="39"/>
      <c r="I165" s="27">
        <v>1.0</v>
      </c>
      <c r="J165" s="28"/>
      <c r="K165" s="22">
        <v>45175.0</v>
      </c>
      <c r="L165" s="19" t="s">
        <v>38</v>
      </c>
      <c r="M165" s="25" t="s">
        <v>884</v>
      </c>
      <c r="N165" s="25" t="s">
        <v>885</v>
      </c>
      <c r="O165" s="25" t="s">
        <v>886</v>
      </c>
      <c r="P165" s="29"/>
      <c r="Q165" s="12" t="s">
        <v>67</v>
      </c>
      <c r="R165" s="25" t="s">
        <v>189</v>
      </c>
      <c r="S165" s="32">
        <v>1850.0</v>
      </c>
      <c r="T165" s="25"/>
      <c r="U165" s="25" t="s">
        <v>887</v>
      </c>
      <c r="V165" s="25" t="s">
        <v>888</v>
      </c>
      <c r="W165" s="25" t="s">
        <v>889</v>
      </c>
      <c r="X165" s="25" t="s">
        <v>47</v>
      </c>
      <c r="Y165" s="25" t="s">
        <v>120</v>
      </c>
      <c r="Z165" s="25" t="s">
        <v>102</v>
      </c>
      <c r="AA165" s="25" t="s">
        <v>72</v>
      </c>
      <c r="AB165" s="25" t="s">
        <v>719</v>
      </c>
      <c r="AC165" s="25"/>
      <c r="AD165" s="25"/>
      <c r="AE165" s="25">
        <v>3158.11</v>
      </c>
      <c r="AF165" s="25" t="s">
        <v>696</v>
      </c>
      <c r="AG165" s="29"/>
      <c r="AH165" s="10" t="s">
        <v>52</v>
      </c>
      <c r="AI165" s="10"/>
      <c r="AJ165" s="10"/>
      <c r="AK165" s="10"/>
    </row>
    <row r="166" hidden="1">
      <c r="A166" s="10">
        <v>165.0</v>
      </c>
      <c r="B166" s="31">
        <v>45152.0</v>
      </c>
      <c r="C166" s="25">
        <v>0.0</v>
      </c>
      <c r="D166" s="12">
        <f t="shared" si="4"/>
        <v>0</v>
      </c>
      <c r="E166" s="12" t="s">
        <v>37</v>
      </c>
      <c r="F166" s="25"/>
      <c r="G166" s="26"/>
      <c r="H166" s="39"/>
      <c r="I166" s="27">
        <v>1.0</v>
      </c>
      <c r="J166" s="28"/>
      <c r="K166" s="22">
        <v>45182.0</v>
      </c>
      <c r="L166" s="23" t="s">
        <v>890</v>
      </c>
      <c r="M166" s="25" t="s">
        <v>891</v>
      </c>
      <c r="N166" s="25" t="s">
        <v>892</v>
      </c>
      <c r="O166" s="25" t="s">
        <v>66</v>
      </c>
      <c r="P166" s="25">
        <v>250455.0</v>
      </c>
      <c r="Q166" s="25" t="s">
        <v>370</v>
      </c>
      <c r="R166" s="25" t="s">
        <v>893</v>
      </c>
      <c r="S166" s="35">
        <v>1115.0</v>
      </c>
      <c r="T166" s="25"/>
      <c r="U166" s="25" t="s">
        <v>894</v>
      </c>
      <c r="V166" s="25" t="s">
        <v>895</v>
      </c>
      <c r="W166" s="29"/>
      <c r="X166" s="25" t="s">
        <v>47</v>
      </c>
      <c r="Y166" s="25" t="s">
        <v>120</v>
      </c>
      <c r="Z166" s="25" t="s">
        <v>102</v>
      </c>
      <c r="AA166" s="25" t="s">
        <v>72</v>
      </c>
      <c r="AB166" s="25" t="s">
        <v>114</v>
      </c>
      <c r="AC166" s="25"/>
      <c r="AD166" s="25"/>
      <c r="AE166" s="25">
        <v>6367.13</v>
      </c>
      <c r="AF166" s="29"/>
      <c r="AG166" s="29"/>
      <c r="AH166" s="10" t="s">
        <v>52</v>
      </c>
      <c r="AI166" s="10"/>
      <c r="AJ166" s="10"/>
      <c r="AK166" s="10"/>
    </row>
    <row r="167" hidden="1">
      <c r="A167" s="10">
        <v>166.0</v>
      </c>
      <c r="B167" s="31">
        <v>45153.0</v>
      </c>
      <c r="C167" s="25">
        <v>0.0</v>
      </c>
      <c r="D167" s="12">
        <f t="shared" si="4"/>
        <v>0</v>
      </c>
      <c r="E167" s="12" t="s">
        <v>37</v>
      </c>
      <c r="F167" s="25"/>
      <c r="G167" s="26"/>
      <c r="H167" s="39"/>
      <c r="I167" s="27">
        <v>2.0</v>
      </c>
      <c r="J167" s="28"/>
      <c r="K167" s="22">
        <v>45182.0</v>
      </c>
      <c r="L167" s="19" t="s">
        <v>270</v>
      </c>
      <c r="M167" s="25" t="s">
        <v>896</v>
      </c>
      <c r="N167" s="50" t="s">
        <v>897</v>
      </c>
      <c r="O167" s="25" t="s">
        <v>898</v>
      </c>
      <c r="P167" s="25">
        <v>249111.0</v>
      </c>
      <c r="Q167" s="12" t="s">
        <v>274</v>
      </c>
      <c r="R167" s="25" t="s">
        <v>275</v>
      </c>
      <c r="S167" s="32">
        <v>2150.0</v>
      </c>
      <c r="T167" s="25"/>
      <c r="U167" s="25" t="s">
        <v>899</v>
      </c>
      <c r="V167" s="25" t="s">
        <v>900</v>
      </c>
      <c r="W167" s="29"/>
      <c r="X167" s="25" t="s">
        <v>47</v>
      </c>
      <c r="Y167" s="25" t="s">
        <v>48</v>
      </c>
      <c r="Z167" s="25" t="s">
        <v>102</v>
      </c>
      <c r="AA167" s="25" t="s">
        <v>72</v>
      </c>
      <c r="AB167" s="25" t="s">
        <v>719</v>
      </c>
      <c r="AC167" s="25"/>
      <c r="AD167" s="25"/>
      <c r="AE167" s="25">
        <v>11357.91</v>
      </c>
      <c r="AF167" s="25" t="s">
        <v>901</v>
      </c>
      <c r="AG167" s="29"/>
      <c r="AH167" s="10" t="s">
        <v>52</v>
      </c>
      <c r="AI167" s="10"/>
      <c r="AJ167" s="10"/>
      <c r="AK167" s="10"/>
    </row>
    <row r="168" hidden="1">
      <c r="A168" s="10">
        <v>167.0</v>
      </c>
      <c r="B168" s="31">
        <v>45124.0</v>
      </c>
      <c r="C168" s="25">
        <v>0.0</v>
      </c>
      <c r="D168" s="12">
        <f t="shared" si="4"/>
        <v>0</v>
      </c>
      <c r="E168" s="12" t="s">
        <v>37</v>
      </c>
      <c r="F168" s="25"/>
      <c r="G168" s="26"/>
      <c r="H168" s="39"/>
      <c r="I168" s="27">
        <v>3.0</v>
      </c>
      <c r="J168" s="28"/>
      <c r="K168" s="22">
        <v>45189.0</v>
      </c>
      <c r="L168" s="23" t="s">
        <v>157</v>
      </c>
      <c r="M168" s="25" t="s">
        <v>902</v>
      </c>
      <c r="N168" s="50" t="s">
        <v>903</v>
      </c>
      <c r="O168" s="25" t="s">
        <v>66</v>
      </c>
      <c r="P168" s="25">
        <v>88734.0</v>
      </c>
      <c r="Q168" s="25" t="s">
        <v>160</v>
      </c>
      <c r="R168" s="25" t="s">
        <v>161</v>
      </c>
      <c r="S168" s="32"/>
      <c r="T168" s="25"/>
      <c r="U168" s="25" t="s">
        <v>904</v>
      </c>
      <c r="V168" s="25"/>
      <c r="W168" s="29"/>
      <c r="X168" s="25" t="s">
        <v>47</v>
      </c>
      <c r="Y168" s="25" t="s">
        <v>48</v>
      </c>
      <c r="Z168" s="25" t="s">
        <v>92</v>
      </c>
      <c r="AA168" s="25" t="s">
        <v>72</v>
      </c>
      <c r="AB168" s="25" t="s">
        <v>165</v>
      </c>
      <c r="AC168" s="25"/>
      <c r="AD168" s="25"/>
      <c r="AE168" s="25">
        <v>15782.11</v>
      </c>
      <c r="AF168" s="25"/>
      <c r="AG168" s="29"/>
      <c r="AH168" s="10" t="s">
        <v>52</v>
      </c>
      <c r="AI168" s="10"/>
      <c r="AJ168" s="10"/>
      <c r="AK168" s="10"/>
    </row>
    <row r="169" hidden="1">
      <c r="A169" s="10">
        <v>168.0</v>
      </c>
      <c r="B169" s="31">
        <v>45174.0</v>
      </c>
      <c r="C169" s="25">
        <v>0.0</v>
      </c>
      <c r="D169" s="12">
        <f t="shared" si="4"/>
        <v>0</v>
      </c>
      <c r="E169" s="12" t="s">
        <v>37</v>
      </c>
      <c r="F169" s="25"/>
      <c r="G169" s="26"/>
      <c r="H169" s="39"/>
      <c r="I169" s="27">
        <v>1.0</v>
      </c>
      <c r="J169" s="28"/>
      <c r="K169" s="22">
        <v>45192.0</v>
      </c>
      <c r="L169" s="23" t="s">
        <v>905</v>
      </c>
      <c r="M169" s="25" t="s">
        <v>906</v>
      </c>
      <c r="N169" s="50" t="s">
        <v>907</v>
      </c>
      <c r="O169" s="25" t="s">
        <v>66</v>
      </c>
      <c r="P169" s="25">
        <v>261958.0</v>
      </c>
      <c r="Q169" s="12" t="s">
        <v>80</v>
      </c>
      <c r="R169" s="25" t="s">
        <v>908</v>
      </c>
      <c r="S169" s="32">
        <v>1395.0</v>
      </c>
      <c r="T169" s="25"/>
      <c r="U169" s="25" t="s">
        <v>909</v>
      </c>
      <c r="V169" s="25"/>
      <c r="W169" s="29"/>
      <c r="X169" s="25" t="s">
        <v>47</v>
      </c>
      <c r="Y169" s="25" t="s">
        <v>120</v>
      </c>
      <c r="Z169" s="25" t="s">
        <v>102</v>
      </c>
      <c r="AA169" s="25" t="s">
        <v>72</v>
      </c>
      <c r="AB169" s="25" t="s">
        <v>739</v>
      </c>
      <c r="AC169" s="25"/>
      <c r="AD169" s="25"/>
      <c r="AE169" s="25">
        <v>5213.62</v>
      </c>
      <c r="AF169" s="25"/>
      <c r="AG169" s="29"/>
      <c r="AH169" s="10" t="s">
        <v>52</v>
      </c>
      <c r="AI169" s="10"/>
      <c r="AJ169" s="10"/>
      <c r="AK169" s="10"/>
    </row>
    <row r="170" hidden="1">
      <c r="A170" s="10">
        <v>169.0</v>
      </c>
      <c r="B170" s="31">
        <v>45164.0</v>
      </c>
      <c r="C170" s="25">
        <v>0.0</v>
      </c>
      <c r="D170" s="12">
        <f t="shared" si="4"/>
        <v>0</v>
      </c>
      <c r="E170" s="12" t="s">
        <v>37</v>
      </c>
      <c r="F170" s="25"/>
      <c r="G170" s="26"/>
      <c r="H170" s="39"/>
      <c r="I170" s="27">
        <v>4.0</v>
      </c>
      <c r="J170" s="28"/>
      <c r="K170" s="22">
        <v>45194.0</v>
      </c>
      <c r="L170" s="19" t="s">
        <v>270</v>
      </c>
      <c r="M170" s="25" t="s">
        <v>910</v>
      </c>
      <c r="N170" s="50" t="s">
        <v>911</v>
      </c>
      <c r="O170" s="25" t="s">
        <v>66</v>
      </c>
      <c r="P170" s="25">
        <v>257792.0</v>
      </c>
      <c r="Q170" s="25" t="s">
        <v>171</v>
      </c>
      <c r="R170" s="25" t="s">
        <v>549</v>
      </c>
      <c r="S170" s="32">
        <v>1273.0</v>
      </c>
      <c r="T170" s="25"/>
      <c r="U170" s="25" t="s">
        <v>912</v>
      </c>
      <c r="V170" s="25" t="s">
        <v>913</v>
      </c>
      <c r="W170" s="29"/>
      <c r="X170" s="25" t="s">
        <v>47</v>
      </c>
      <c r="Y170" s="25" t="s">
        <v>48</v>
      </c>
      <c r="Z170" s="25" t="s">
        <v>102</v>
      </c>
      <c r="AA170" s="25" t="s">
        <v>914</v>
      </c>
      <c r="AB170" s="25" t="s">
        <v>687</v>
      </c>
      <c r="AC170" s="25"/>
      <c r="AD170" s="25"/>
      <c r="AE170" s="25">
        <v>21605.48</v>
      </c>
      <c r="AF170" s="25"/>
      <c r="AG170" s="29"/>
      <c r="AH170" s="10" t="s">
        <v>52</v>
      </c>
      <c r="AI170" s="10"/>
      <c r="AJ170" s="10"/>
      <c r="AK170" s="10"/>
    </row>
    <row r="171" hidden="1">
      <c r="A171" s="10">
        <v>170.0</v>
      </c>
      <c r="B171" s="31">
        <v>45160.0</v>
      </c>
      <c r="C171" s="25">
        <v>0.0</v>
      </c>
      <c r="D171" s="12">
        <f t="shared" si="4"/>
        <v>0</v>
      </c>
      <c r="E171" s="12" t="s">
        <v>37</v>
      </c>
      <c r="F171" s="25"/>
      <c r="G171" s="26"/>
      <c r="H171" s="39"/>
      <c r="I171" s="27">
        <v>1.0</v>
      </c>
      <c r="J171" s="28"/>
      <c r="K171" s="22">
        <v>45199.0</v>
      </c>
      <c r="L171" s="23" t="s">
        <v>475</v>
      </c>
      <c r="M171" s="25" t="s">
        <v>54</v>
      </c>
      <c r="N171" s="50" t="s">
        <v>915</v>
      </c>
      <c r="O171" s="25" t="s">
        <v>916</v>
      </c>
      <c r="P171" s="25">
        <v>253067.0</v>
      </c>
      <c r="Q171" s="25" t="s">
        <v>477</v>
      </c>
      <c r="R171" s="25" t="s">
        <v>478</v>
      </c>
      <c r="S171" s="32">
        <v>635.0</v>
      </c>
      <c r="T171" s="25"/>
      <c r="U171" s="25" t="s">
        <v>917</v>
      </c>
      <c r="V171" s="25" t="s">
        <v>918</v>
      </c>
      <c r="W171" s="29"/>
      <c r="X171" s="25" t="s">
        <v>47</v>
      </c>
      <c r="Y171" s="25" t="s">
        <v>48</v>
      </c>
      <c r="Z171" s="25" t="s">
        <v>102</v>
      </c>
      <c r="AA171" s="25" t="s">
        <v>62</v>
      </c>
      <c r="AB171" s="25" t="s">
        <v>257</v>
      </c>
      <c r="AC171" s="25"/>
      <c r="AD171" s="25"/>
      <c r="AE171" s="25">
        <v>7533.63</v>
      </c>
      <c r="AF171" s="25" t="s">
        <v>919</v>
      </c>
      <c r="AG171" s="29"/>
      <c r="AH171" s="10" t="s">
        <v>52</v>
      </c>
      <c r="AI171" s="10"/>
      <c r="AJ171" s="10"/>
      <c r="AK171" s="10"/>
    </row>
    <row r="172" hidden="1">
      <c r="A172" s="10">
        <v>171.0</v>
      </c>
      <c r="B172" s="31">
        <v>45167.0</v>
      </c>
      <c r="C172" s="25">
        <v>0.0</v>
      </c>
      <c r="D172" s="12">
        <f t="shared" si="4"/>
        <v>0</v>
      </c>
      <c r="E172" s="12" t="s">
        <v>37</v>
      </c>
      <c r="F172" s="25"/>
      <c r="G172" s="26"/>
      <c r="H172" s="39"/>
      <c r="I172" s="27">
        <v>6.0</v>
      </c>
      <c r="J172" s="28"/>
      <c r="K172" s="22">
        <v>45199.0</v>
      </c>
      <c r="L172" s="19" t="s">
        <v>270</v>
      </c>
      <c r="M172" s="25" t="s">
        <v>920</v>
      </c>
      <c r="N172" s="50" t="s">
        <v>921</v>
      </c>
      <c r="O172" s="25" t="s">
        <v>898</v>
      </c>
      <c r="P172" s="25">
        <v>261314.0</v>
      </c>
      <c r="Q172" s="12" t="s">
        <v>274</v>
      </c>
      <c r="R172" s="25" t="s">
        <v>275</v>
      </c>
      <c r="S172" s="32">
        <v>2150.0</v>
      </c>
      <c r="T172" s="25"/>
      <c r="U172" s="25" t="s">
        <v>922</v>
      </c>
      <c r="V172" s="25" t="s">
        <v>923</v>
      </c>
      <c r="W172" s="29"/>
      <c r="X172" s="25" t="s">
        <v>47</v>
      </c>
      <c r="Y172" s="25" t="s">
        <v>48</v>
      </c>
      <c r="Z172" s="25" t="s">
        <v>102</v>
      </c>
      <c r="AA172" s="25" t="s">
        <v>72</v>
      </c>
      <c r="AB172" s="25" t="s">
        <v>719</v>
      </c>
      <c r="AC172" s="25"/>
      <c r="AD172" s="25"/>
      <c r="AE172" s="25">
        <v>32742.15</v>
      </c>
      <c r="AF172" s="25" t="s">
        <v>924</v>
      </c>
      <c r="AG172" s="29"/>
      <c r="AH172" s="10" t="s">
        <v>52</v>
      </c>
      <c r="AI172" s="10"/>
      <c r="AJ172" s="10"/>
      <c r="AK172" s="10"/>
    </row>
    <row r="173" hidden="1">
      <c r="A173" s="10">
        <v>172.0</v>
      </c>
      <c r="B173" s="31">
        <v>45168.0</v>
      </c>
      <c r="C173" s="25">
        <v>0.0</v>
      </c>
      <c r="D173" s="12">
        <f t="shared" si="4"/>
        <v>0</v>
      </c>
      <c r="E173" s="12" t="s">
        <v>37</v>
      </c>
      <c r="F173" s="25"/>
      <c r="G173" s="26"/>
      <c r="H173" s="39"/>
      <c r="I173" s="27">
        <v>1.0</v>
      </c>
      <c r="J173" s="28"/>
      <c r="K173" s="22">
        <v>45199.0</v>
      </c>
      <c r="L173" s="23" t="s">
        <v>925</v>
      </c>
      <c r="M173" s="25" t="s">
        <v>926</v>
      </c>
      <c r="N173" s="50" t="s">
        <v>927</v>
      </c>
      <c r="O173" s="25" t="s">
        <v>928</v>
      </c>
      <c r="P173" s="25">
        <v>269112.0</v>
      </c>
      <c r="Q173" s="25" t="s">
        <v>929</v>
      </c>
      <c r="R173" s="25" t="s">
        <v>930</v>
      </c>
      <c r="S173" s="32">
        <v>1720.0</v>
      </c>
      <c r="T173" s="25"/>
      <c r="U173" s="25" t="s">
        <v>931</v>
      </c>
      <c r="V173" s="25" t="s">
        <v>932</v>
      </c>
      <c r="W173" s="29"/>
      <c r="X173" s="25" t="s">
        <v>47</v>
      </c>
      <c r="Y173" s="25" t="s">
        <v>48</v>
      </c>
      <c r="Z173" s="25" t="s">
        <v>102</v>
      </c>
      <c r="AA173" s="25" t="s">
        <v>72</v>
      </c>
      <c r="AB173" s="25" t="s">
        <v>114</v>
      </c>
      <c r="AC173" s="25"/>
      <c r="AD173" s="25"/>
      <c r="AE173" s="25"/>
      <c r="AF173" s="25"/>
      <c r="AG173" s="29"/>
      <c r="AH173" s="10" t="s">
        <v>52</v>
      </c>
      <c r="AI173" s="10"/>
      <c r="AJ173" s="10"/>
      <c r="AK173" s="10"/>
    </row>
    <row r="174" hidden="1">
      <c r="A174" s="10">
        <v>173.0</v>
      </c>
      <c r="B174" s="31">
        <v>45164.0</v>
      </c>
      <c r="C174" s="25">
        <v>0.0</v>
      </c>
      <c r="D174" s="12">
        <f t="shared" si="4"/>
        <v>0</v>
      </c>
      <c r="E174" s="12" t="s">
        <v>37</v>
      </c>
      <c r="F174" s="25"/>
      <c r="G174" s="26"/>
      <c r="H174" s="39"/>
      <c r="I174" s="27">
        <v>5.0</v>
      </c>
      <c r="J174" s="28"/>
      <c r="K174" s="22">
        <v>45200.0</v>
      </c>
      <c r="L174" s="23" t="s">
        <v>250</v>
      </c>
      <c r="M174" s="25" t="s">
        <v>688</v>
      </c>
      <c r="N174" s="50" t="s">
        <v>933</v>
      </c>
      <c r="O174" s="25" t="s">
        <v>690</v>
      </c>
      <c r="P174" s="25">
        <v>90372.0</v>
      </c>
      <c r="Q174" s="12" t="s">
        <v>42</v>
      </c>
      <c r="R174" s="12" t="s">
        <v>43</v>
      </c>
      <c r="S174" s="32" t="s">
        <v>934</v>
      </c>
      <c r="T174" s="25"/>
      <c r="U174" s="25" t="s">
        <v>935</v>
      </c>
      <c r="V174" s="25"/>
      <c r="W174" s="29" t="s">
        <v>936</v>
      </c>
      <c r="X174" s="25" t="s">
        <v>47</v>
      </c>
      <c r="Y174" s="25" t="s">
        <v>937</v>
      </c>
      <c r="Z174" s="25" t="s">
        <v>102</v>
      </c>
      <c r="AA174" s="25" t="s">
        <v>50</v>
      </c>
      <c r="AB174" s="25" t="s">
        <v>114</v>
      </c>
      <c r="AC174" s="25"/>
      <c r="AD174" s="25"/>
      <c r="AE174" s="25">
        <v>15548.67</v>
      </c>
      <c r="AF174" s="25"/>
      <c r="AG174" s="29"/>
      <c r="AH174" s="10" t="s">
        <v>52</v>
      </c>
      <c r="AI174" s="10"/>
      <c r="AJ174" s="10"/>
      <c r="AK174" s="10"/>
    </row>
    <row r="175" hidden="1">
      <c r="A175" s="10">
        <v>174.0</v>
      </c>
      <c r="B175" s="31">
        <v>45164.0</v>
      </c>
      <c r="C175" s="25">
        <v>0.0</v>
      </c>
      <c r="D175" s="12">
        <f t="shared" si="4"/>
        <v>0</v>
      </c>
      <c r="E175" s="12" t="s">
        <v>37</v>
      </c>
      <c r="F175" s="25"/>
      <c r="G175" s="26"/>
      <c r="H175" s="39"/>
      <c r="I175" s="27">
        <v>1.0</v>
      </c>
      <c r="J175" s="28"/>
      <c r="K175" s="22">
        <v>45200.0</v>
      </c>
      <c r="L175" s="19" t="s">
        <v>38</v>
      </c>
      <c r="M175" s="25" t="s">
        <v>938</v>
      </c>
      <c r="N175" s="50" t="s">
        <v>939</v>
      </c>
      <c r="O175" s="25" t="s">
        <v>940</v>
      </c>
      <c r="P175" s="25">
        <v>90377.0</v>
      </c>
      <c r="Q175" s="12" t="s">
        <v>42</v>
      </c>
      <c r="R175" s="12" t="s">
        <v>43</v>
      </c>
      <c r="S175" s="32">
        <v>2100.0</v>
      </c>
      <c r="T175" s="25"/>
      <c r="U175" s="25" t="s">
        <v>941</v>
      </c>
      <c r="V175" s="25" t="s">
        <v>942</v>
      </c>
      <c r="W175" s="29"/>
      <c r="X175" s="25" t="s">
        <v>47</v>
      </c>
      <c r="Y175" s="25" t="s">
        <v>48</v>
      </c>
      <c r="Z175" s="25" t="s">
        <v>49</v>
      </c>
      <c r="AA175" s="25" t="s">
        <v>50</v>
      </c>
      <c r="AB175" s="25" t="s">
        <v>114</v>
      </c>
      <c r="AC175" s="25"/>
      <c r="AD175" s="25"/>
      <c r="AE175" s="25">
        <v>3553.77</v>
      </c>
      <c r="AF175" s="25" t="s">
        <v>943</v>
      </c>
      <c r="AG175" s="29"/>
      <c r="AH175" s="10" t="s">
        <v>52</v>
      </c>
      <c r="AI175" s="10"/>
      <c r="AJ175" s="10"/>
      <c r="AK175" s="10"/>
    </row>
    <row r="176" hidden="1">
      <c r="A176" s="10">
        <v>175.0</v>
      </c>
      <c r="B176" s="31">
        <v>45164.0</v>
      </c>
      <c r="C176" s="25">
        <v>0.0</v>
      </c>
      <c r="D176" s="12">
        <f t="shared" si="4"/>
        <v>0</v>
      </c>
      <c r="E176" s="12" t="s">
        <v>37</v>
      </c>
      <c r="F176" s="25"/>
      <c r="G176" s="26"/>
      <c r="H176" s="21"/>
      <c r="I176" s="27">
        <v>1.0</v>
      </c>
      <c r="J176" s="28"/>
      <c r="K176" s="22">
        <v>45200.0</v>
      </c>
      <c r="L176" s="23" t="s">
        <v>242</v>
      </c>
      <c r="M176" s="25" t="s">
        <v>944</v>
      </c>
      <c r="N176" s="25">
        <v>9.0491521E7</v>
      </c>
      <c r="O176" s="25">
        <v>9453.0</v>
      </c>
      <c r="P176" s="25">
        <v>270871.0</v>
      </c>
      <c r="Q176" s="25" t="s">
        <v>246</v>
      </c>
      <c r="R176" s="25" t="s">
        <v>247</v>
      </c>
      <c r="S176" s="32">
        <v>3110.0</v>
      </c>
      <c r="T176" s="25"/>
      <c r="U176" s="25" t="s">
        <v>945</v>
      </c>
      <c r="V176" s="25" t="s">
        <v>946</v>
      </c>
      <c r="W176" s="29"/>
      <c r="X176" s="25" t="s">
        <v>47</v>
      </c>
      <c r="Y176" s="25" t="s">
        <v>48</v>
      </c>
      <c r="Z176" s="25" t="s">
        <v>102</v>
      </c>
      <c r="AA176" s="25" t="s">
        <v>72</v>
      </c>
      <c r="AB176" s="25" t="s">
        <v>402</v>
      </c>
      <c r="AC176" s="25"/>
      <c r="AD176" s="25"/>
      <c r="AE176" s="25">
        <v>5718.13</v>
      </c>
      <c r="AF176" s="29"/>
      <c r="AG176" s="29"/>
      <c r="AH176" s="10" t="s">
        <v>52</v>
      </c>
      <c r="AI176" s="10"/>
      <c r="AJ176" s="10"/>
      <c r="AK176" s="10"/>
    </row>
    <row r="177" hidden="1">
      <c r="A177" s="10">
        <v>176.0</v>
      </c>
      <c r="B177" s="31">
        <v>45180.0</v>
      </c>
      <c r="C177" s="25">
        <v>0.0</v>
      </c>
      <c r="D177" s="12">
        <f t="shared" si="4"/>
        <v>0</v>
      </c>
      <c r="E177" s="12" t="s">
        <v>37</v>
      </c>
      <c r="F177" s="25"/>
      <c r="G177" s="26"/>
      <c r="H177" s="21"/>
      <c r="I177" s="27">
        <v>2.0</v>
      </c>
      <c r="J177" s="28"/>
      <c r="K177" s="22">
        <v>45203.0</v>
      </c>
      <c r="L177" s="23" t="s">
        <v>475</v>
      </c>
      <c r="M177" s="25" t="s">
        <v>54</v>
      </c>
      <c r="N177" s="25" t="s">
        <v>947</v>
      </c>
      <c r="O177" s="25" t="s">
        <v>916</v>
      </c>
      <c r="P177" s="25">
        <v>267727.0</v>
      </c>
      <c r="Q177" s="25" t="s">
        <v>477</v>
      </c>
      <c r="R177" s="25" t="s">
        <v>478</v>
      </c>
      <c r="S177" s="32">
        <v>635.0</v>
      </c>
      <c r="T177" s="25"/>
      <c r="U177" s="25" t="s">
        <v>948</v>
      </c>
      <c r="V177" s="25" t="s">
        <v>949</v>
      </c>
      <c r="W177" s="25"/>
      <c r="X177" s="25" t="s">
        <v>47</v>
      </c>
      <c r="Y177" s="25" t="s">
        <v>48</v>
      </c>
      <c r="Z177" s="25" t="s">
        <v>102</v>
      </c>
      <c r="AA177" s="25" t="s">
        <v>62</v>
      </c>
      <c r="AB177" s="25" t="s">
        <v>257</v>
      </c>
      <c r="AC177" s="25"/>
      <c r="AD177" s="25"/>
      <c r="AE177" s="25">
        <v>12274.56</v>
      </c>
      <c r="AF177" s="29"/>
      <c r="AG177" s="29"/>
      <c r="AH177" s="10" t="s">
        <v>52</v>
      </c>
      <c r="AI177" s="10"/>
      <c r="AJ177" s="10"/>
      <c r="AK177" s="10"/>
    </row>
    <row r="178" hidden="1">
      <c r="A178" s="10">
        <v>177.0</v>
      </c>
      <c r="B178" s="31">
        <v>45169.0</v>
      </c>
      <c r="C178" s="25">
        <v>0.0</v>
      </c>
      <c r="D178" s="12">
        <f t="shared" si="4"/>
        <v>0</v>
      </c>
      <c r="E178" s="12" t="s">
        <v>37</v>
      </c>
      <c r="F178" s="25"/>
      <c r="G178" s="26"/>
      <c r="H178" s="21"/>
      <c r="I178" s="27">
        <v>2.0</v>
      </c>
      <c r="J178" s="28"/>
      <c r="K178" s="22">
        <v>45210.0</v>
      </c>
      <c r="L178" s="23" t="s">
        <v>242</v>
      </c>
      <c r="M178" s="25" t="s">
        <v>950</v>
      </c>
      <c r="N178" s="25" t="s">
        <v>951</v>
      </c>
      <c r="O178" s="25" t="s">
        <v>952</v>
      </c>
      <c r="P178" s="25">
        <v>280730.0</v>
      </c>
      <c r="Q178" s="25" t="s">
        <v>246</v>
      </c>
      <c r="R178" s="25" t="s">
        <v>247</v>
      </c>
      <c r="S178" s="32">
        <v>3355.0</v>
      </c>
      <c r="T178" s="25"/>
      <c r="U178" s="25" t="s">
        <v>953</v>
      </c>
      <c r="V178" s="25" t="s">
        <v>954</v>
      </c>
      <c r="W178" s="25"/>
      <c r="X178" s="25" t="s">
        <v>47</v>
      </c>
      <c r="Y178" s="25" t="s">
        <v>48</v>
      </c>
      <c r="Z178" s="25" t="s">
        <v>102</v>
      </c>
      <c r="AA178" s="25" t="s">
        <v>72</v>
      </c>
      <c r="AB178" s="25" t="s">
        <v>402</v>
      </c>
      <c r="AC178" s="25"/>
      <c r="AD178" s="25"/>
      <c r="AE178" s="25">
        <v>10659.24</v>
      </c>
      <c r="AF178" s="29"/>
      <c r="AG178" s="29"/>
      <c r="AH178" s="10" t="s">
        <v>52</v>
      </c>
      <c r="AI178" s="10"/>
      <c r="AJ178" s="10"/>
      <c r="AK178" s="10"/>
    </row>
    <row r="179" hidden="1">
      <c r="A179" s="10">
        <v>178.0</v>
      </c>
      <c r="B179" s="31">
        <v>45175.0</v>
      </c>
      <c r="C179" s="25">
        <v>0.0</v>
      </c>
      <c r="D179" s="12">
        <f t="shared" si="4"/>
        <v>0</v>
      </c>
      <c r="E179" s="12" t="s">
        <v>37</v>
      </c>
      <c r="F179" s="25"/>
      <c r="G179" s="26"/>
      <c r="H179" s="21"/>
      <c r="I179" s="27">
        <v>2.0</v>
      </c>
      <c r="J179" s="28"/>
      <c r="K179" s="22">
        <v>45211.0</v>
      </c>
      <c r="L179" s="23" t="s">
        <v>955</v>
      </c>
      <c r="M179" s="25" t="s">
        <v>956</v>
      </c>
      <c r="N179" s="25" t="s">
        <v>957</v>
      </c>
      <c r="O179" s="25" t="s">
        <v>958</v>
      </c>
      <c r="P179" s="25">
        <v>94554.0</v>
      </c>
      <c r="Q179" s="12" t="s">
        <v>67</v>
      </c>
      <c r="R179" s="25" t="s">
        <v>178</v>
      </c>
      <c r="S179" s="51" t="s">
        <v>959</v>
      </c>
      <c r="T179" s="25"/>
      <c r="U179" s="25" t="s">
        <v>960</v>
      </c>
      <c r="V179" s="25" t="s">
        <v>961</v>
      </c>
      <c r="W179" s="29"/>
      <c r="X179" s="25" t="s">
        <v>47</v>
      </c>
      <c r="Y179" s="25" t="s">
        <v>962</v>
      </c>
      <c r="Z179" s="25" t="s">
        <v>49</v>
      </c>
      <c r="AA179" s="25" t="s">
        <v>72</v>
      </c>
      <c r="AB179" s="25" t="s">
        <v>114</v>
      </c>
      <c r="AC179" s="25"/>
      <c r="AD179" s="25"/>
      <c r="AE179" s="25">
        <v>6167.22</v>
      </c>
      <c r="AF179" s="29"/>
      <c r="AG179" s="29"/>
      <c r="AH179" s="10" t="s">
        <v>52</v>
      </c>
      <c r="AI179" s="10"/>
      <c r="AJ179" s="10"/>
      <c r="AK179" s="10"/>
    </row>
    <row r="180" hidden="1">
      <c r="A180" s="10">
        <v>179.0</v>
      </c>
      <c r="B180" s="31">
        <v>45173.0</v>
      </c>
      <c r="C180" s="25">
        <v>0.0</v>
      </c>
      <c r="D180" s="12">
        <f t="shared" si="4"/>
        <v>0</v>
      </c>
      <c r="E180" s="12" t="s">
        <v>37</v>
      </c>
      <c r="F180" s="25"/>
      <c r="G180" s="26"/>
      <c r="H180" s="21"/>
      <c r="I180" s="27">
        <v>3.0</v>
      </c>
      <c r="J180" s="28"/>
      <c r="K180" s="22">
        <v>45217.0</v>
      </c>
      <c r="L180" s="47" t="s">
        <v>727</v>
      </c>
      <c r="M180" s="25" t="s">
        <v>963</v>
      </c>
      <c r="N180" s="25">
        <v>162709.0</v>
      </c>
      <c r="O180" s="25" t="s">
        <v>66</v>
      </c>
      <c r="P180" s="25">
        <v>97672.0</v>
      </c>
      <c r="Q180" s="12" t="s">
        <v>42</v>
      </c>
      <c r="R180" s="25" t="s">
        <v>334</v>
      </c>
      <c r="S180" s="32">
        <v>1700.0</v>
      </c>
      <c r="T180" s="25"/>
      <c r="U180" s="25" t="s">
        <v>964</v>
      </c>
      <c r="V180" s="25" t="s">
        <v>965</v>
      </c>
      <c r="W180" s="29"/>
      <c r="X180" s="25" t="s">
        <v>47</v>
      </c>
      <c r="Y180" s="25" t="s">
        <v>48</v>
      </c>
      <c r="Z180" s="25" t="s">
        <v>102</v>
      </c>
      <c r="AA180" s="25" t="s">
        <v>50</v>
      </c>
      <c r="AB180" s="25" t="s">
        <v>966</v>
      </c>
      <c r="AC180" s="25"/>
      <c r="AD180" s="25"/>
      <c r="AE180" s="25">
        <v>9802.44</v>
      </c>
      <c r="AF180" s="29"/>
      <c r="AG180" s="29"/>
      <c r="AH180" s="10" t="s">
        <v>52</v>
      </c>
      <c r="AI180" s="10"/>
      <c r="AJ180" s="10"/>
      <c r="AK180" s="10"/>
    </row>
    <row r="181" hidden="1">
      <c r="A181" s="10">
        <v>180.0</v>
      </c>
      <c r="B181" s="31">
        <v>45185.0</v>
      </c>
      <c r="C181" s="25">
        <v>0.0</v>
      </c>
      <c r="D181" s="12">
        <f t="shared" si="4"/>
        <v>0</v>
      </c>
      <c r="E181" s="12" t="s">
        <v>37</v>
      </c>
      <c r="F181" s="25"/>
      <c r="G181" s="26"/>
      <c r="H181" s="21"/>
      <c r="I181" s="27">
        <v>1.0</v>
      </c>
      <c r="J181" s="28"/>
      <c r="K181" s="22">
        <v>45225.0</v>
      </c>
      <c r="L181" s="23" t="s">
        <v>86</v>
      </c>
      <c r="M181" s="25" t="s">
        <v>967</v>
      </c>
      <c r="N181" s="25">
        <v>901104.0</v>
      </c>
      <c r="O181" s="25" t="s">
        <v>968</v>
      </c>
      <c r="P181" s="25">
        <v>101368.0</v>
      </c>
      <c r="Q181" s="12" t="s">
        <v>42</v>
      </c>
      <c r="R181" s="12" t="s">
        <v>105</v>
      </c>
      <c r="S181" s="29"/>
      <c r="T181" s="25"/>
      <c r="U181" s="25" t="s">
        <v>969</v>
      </c>
      <c r="V181" s="25">
        <v>5.0300731962E10</v>
      </c>
      <c r="W181" s="29"/>
      <c r="X181" s="25" t="s">
        <v>47</v>
      </c>
      <c r="Y181" s="25" t="s">
        <v>48</v>
      </c>
      <c r="Z181" s="25" t="s">
        <v>524</v>
      </c>
      <c r="AA181" s="25" t="s">
        <v>970</v>
      </c>
      <c r="AB181" s="25" t="s">
        <v>165</v>
      </c>
      <c r="AC181" s="25"/>
      <c r="AD181" s="25"/>
      <c r="AE181" s="25">
        <v>3553.86</v>
      </c>
      <c r="AF181" s="25" t="s">
        <v>740</v>
      </c>
      <c r="AG181" s="29"/>
      <c r="AH181" s="10" t="s">
        <v>52</v>
      </c>
      <c r="AI181" s="10"/>
      <c r="AJ181" s="10"/>
      <c r="AK181" s="10"/>
    </row>
    <row r="182" hidden="1">
      <c r="A182" s="10">
        <v>181.0</v>
      </c>
      <c r="B182" s="31">
        <v>45185.0</v>
      </c>
      <c r="C182" s="25">
        <v>0.0</v>
      </c>
      <c r="D182" s="12">
        <f t="shared" si="4"/>
        <v>0</v>
      </c>
      <c r="E182" s="12" t="s">
        <v>37</v>
      </c>
      <c r="F182" s="25"/>
      <c r="G182" s="26"/>
      <c r="H182" s="21"/>
      <c r="I182" s="27">
        <v>1.0</v>
      </c>
      <c r="J182" s="28"/>
      <c r="K182" s="22">
        <v>45225.0</v>
      </c>
      <c r="L182" s="23" t="s">
        <v>86</v>
      </c>
      <c r="M182" s="25" t="s">
        <v>971</v>
      </c>
      <c r="N182" s="25">
        <v>901105.0</v>
      </c>
      <c r="O182" s="25" t="s">
        <v>968</v>
      </c>
      <c r="P182" s="25">
        <v>101362.0</v>
      </c>
      <c r="Q182" s="12" t="s">
        <v>42</v>
      </c>
      <c r="R182" s="12" t="s">
        <v>105</v>
      </c>
      <c r="S182" s="29"/>
      <c r="T182" s="25"/>
      <c r="U182" s="25" t="s">
        <v>972</v>
      </c>
      <c r="V182" s="25">
        <v>5.0300731954E10</v>
      </c>
      <c r="W182" s="29"/>
      <c r="X182" s="25" t="s">
        <v>47</v>
      </c>
      <c r="Y182" s="25" t="s">
        <v>48</v>
      </c>
      <c r="Z182" s="25" t="s">
        <v>524</v>
      </c>
      <c r="AA182" s="25" t="s">
        <v>970</v>
      </c>
      <c r="AB182" s="25" t="s">
        <v>165</v>
      </c>
      <c r="AC182" s="25"/>
      <c r="AD182" s="25"/>
      <c r="AE182" s="25">
        <v>3553.86</v>
      </c>
      <c r="AF182" s="25" t="s">
        <v>740</v>
      </c>
      <c r="AG182" s="29"/>
      <c r="AH182" s="10" t="s">
        <v>52</v>
      </c>
      <c r="AI182" s="10"/>
      <c r="AJ182" s="10"/>
      <c r="AK182" s="10"/>
    </row>
    <row r="183" ht="58.5" hidden="1" customHeight="1">
      <c r="A183" s="10">
        <v>182.0</v>
      </c>
      <c r="B183" s="31">
        <v>45192.0</v>
      </c>
      <c r="C183" s="25">
        <v>0.0</v>
      </c>
      <c r="D183" s="12">
        <f t="shared" si="4"/>
        <v>0</v>
      </c>
      <c r="E183" s="12" t="s">
        <v>37</v>
      </c>
      <c r="F183" s="25"/>
      <c r="G183" s="26"/>
      <c r="H183" s="21"/>
      <c r="I183" s="27">
        <v>9.0</v>
      </c>
      <c r="J183" s="28"/>
      <c r="K183" s="22">
        <v>45225.0</v>
      </c>
      <c r="L183" s="19" t="s">
        <v>270</v>
      </c>
      <c r="M183" s="25" t="s">
        <v>973</v>
      </c>
      <c r="N183" s="50" t="s">
        <v>974</v>
      </c>
      <c r="O183" s="25" t="s">
        <v>975</v>
      </c>
      <c r="P183" s="25">
        <v>284599.0</v>
      </c>
      <c r="Q183" s="12" t="s">
        <v>274</v>
      </c>
      <c r="R183" s="25" t="s">
        <v>275</v>
      </c>
      <c r="S183" s="32">
        <v>1865.0</v>
      </c>
      <c r="T183" s="25"/>
      <c r="U183" s="25" t="s">
        <v>976</v>
      </c>
      <c r="V183" s="25" t="s">
        <v>977</v>
      </c>
      <c r="W183" s="29"/>
      <c r="X183" s="25" t="s">
        <v>47</v>
      </c>
      <c r="Y183" s="25" t="s">
        <v>48</v>
      </c>
      <c r="Z183" s="25" t="s">
        <v>102</v>
      </c>
      <c r="AA183" s="25" t="s">
        <v>72</v>
      </c>
      <c r="AB183" s="25" t="s">
        <v>687</v>
      </c>
      <c r="AC183" s="25"/>
      <c r="AD183" s="25"/>
      <c r="AE183" s="25">
        <v>48580.08</v>
      </c>
      <c r="AF183" s="29"/>
      <c r="AG183" s="29"/>
      <c r="AH183" s="10" t="s">
        <v>52</v>
      </c>
      <c r="AI183" s="10"/>
      <c r="AJ183" s="10"/>
      <c r="AK183" s="10"/>
    </row>
    <row r="184" hidden="1">
      <c r="A184" s="10">
        <v>183.0</v>
      </c>
      <c r="B184" s="31">
        <v>45204.0</v>
      </c>
      <c r="C184" s="25">
        <v>0.0</v>
      </c>
      <c r="D184" s="12">
        <f t="shared" si="4"/>
        <v>0</v>
      </c>
      <c r="E184" s="12" t="s">
        <v>37</v>
      </c>
      <c r="F184" s="25"/>
      <c r="G184" s="26"/>
      <c r="H184" s="21"/>
      <c r="I184" s="27">
        <v>1.0</v>
      </c>
      <c r="J184" s="28"/>
      <c r="K184" s="22">
        <v>45229.0</v>
      </c>
      <c r="L184" s="23" t="s">
        <v>503</v>
      </c>
      <c r="M184" s="25" t="s">
        <v>978</v>
      </c>
      <c r="N184" s="25">
        <v>2.2354252E7</v>
      </c>
      <c r="O184" s="25" t="s">
        <v>979</v>
      </c>
      <c r="P184" s="25">
        <v>300854.0</v>
      </c>
      <c r="Q184" s="25" t="s">
        <v>148</v>
      </c>
      <c r="R184" s="25" t="s">
        <v>149</v>
      </c>
      <c r="S184" s="35">
        <v>1200.0</v>
      </c>
      <c r="T184" s="25"/>
      <c r="U184" s="25" t="s">
        <v>980</v>
      </c>
      <c r="V184" s="25" t="s">
        <v>981</v>
      </c>
      <c r="W184" s="29"/>
      <c r="X184" s="25" t="s">
        <v>47</v>
      </c>
      <c r="Y184" s="25" t="s">
        <v>48</v>
      </c>
      <c r="Z184" s="25" t="s">
        <v>524</v>
      </c>
      <c r="AA184" s="25" t="s">
        <v>72</v>
      </c>
      <c r="AB184" s="25" t="s">
        <v>165</v>
      </c>
      <c r="AC184" s="25"/>
      <c r="AD184" s="25"/>
      <c r="AE184" s="25">
        <v>5702.55</v>
      </c>
      <c r="AF184" s="29"/>
      <c r="AG184" s="29"/>
      <c r="AH184" s="10" t="s">
        <v>52</v>
      </c>
      <c r="AI184" s="10"/>
      <c r="AJ184" s="10"/>
      <c r="AK184" s="10"/>
    </row>
    <row r="185" hidden="1">
      <c r="A185" s="10">
        <v>184.0</v>
      </c>
      <c r="B185" s="31">
        <v>45201.0</v>
      </c>
      <c r="C185" s="25">
        <v>0.0</v>
      </c>
      <c r="D185" s="12">
        <f t="shared" si="4"/>
        <v>0</v>
      </c>
      <c r="E185" s="12" t="s">
        <v>37</v>
      </c>
      <c r="F185" s="25"/>
      <c r="G185" s="26"/>
      <c r="H185" s="39"/>
      <c r="I185" s="27">
        <v>1.0</v>
      </c>
      <c r="J185" s="28"/>
      <c r="K185" s="22">
        <v>45232.0</v>
      </c>
      <c r="L185" s="19" t="s">
        <v>38</v>
      </c>
      <c r="M185" s="25" t="s">
        <v>938</v>
      </c>
      <c r="N185" s="25" t="s">
        <v>982</v>
      </c>
      <c r="O185" s="25" t="s">
        <v>940</v>
      </c>
      <c r="P185" s="25">
        <v>104679.0</v>
      </c>
      <c r="Q185" s="12" t="s">
        <v>42</v>
      </c>
      <c r="R185" s="12" t="s">
        <v>43</v>
      </c>
      <c r="S185" s="32">
        <v>2050.0</v>
      </c>
      <c r="T185" s="25"/>
      <c r="U185" s="25" t="s">
        <v>983</v>
      </c>
      <c r="V185" s="29"/>
      <c r="W185" s="29"/>
      <c r="X185" s="25" t="s">
        <v>47</v>
      </c>
      <c r="Y185" s="25" t="s">
        <v>48</v>
      </c>
      <c r="Z185" s="25" t="s">
        <v>49</v>
      </c>
      <c r="AA185" s="25" t="s">
        <v>50</v>
      </c>
      <c r="AB185" s="25" t="s">
        <v>114</v>
      </c>
      <c r="AC185" s="25"/>
      <c r="AD185" s="25"/>
      <c r="AE185" s="25">
        <v>3529.15</v>
      </c>
      <c r="AF185" s="25" t="s">
        <v>984</v>
      </c>
      <c r="AG185" s="29"/>
      <c r="AH185" s="10" t="s">
        <v>52</v>
      </c>
      <c r="AI185" s="10"/>
      <c r="AJ185" s="10"/>
      <c r="AK185" s="10"/>
    </row>
    <row r="186" hidden="1">
      <c r="A186" s="10">
        <v>185.0</v>
      </c>
      <c r="B186" s="31">
        <v>45201.0</v>
      </c>
      <c r="C186" s="25">
        <v>0.0</v>
      </c>
      <c r="D186" s="12">
        <v>0.0</v>
      </c>
      <c r="E186" s="12" t="s">
        <v>37</v>
      </c>
      <c r="F186" s="25"/>
      <c r="G186" s="26"/>
      <c r="H186" s="39"/>
      <c r="I186" s="27">
        <v>2.0</v>
      </c>
      <c r="J186" s="28"/>
      <c r="K186" s="22">
        <v>45236.0</v>
      </c>
      <c r="L186" s="19" t="s">
        <v>38</v>
      </c>
      <c r="M186" s="25" t="s">
        <v>733</v>
      </c>
      <c r="N186" s="25" t="s">
        <v>985</v>
      </c>
      <c r="O186" s="25" t="s">
        <v>735</v>
      </c>
      <c r="P186" s="25">
        <v>105972.0</v>
      </c>
      <c r="Q186" s="12" t="s">
        <v>42</v>
      </c>
      <c r="R186" s="12" t="s">
        <v>43</v>
      </c>
      <c r="S186" s="32">
        <v>2050.0</v>
      </c>
      <c r="T186" s="25"/>
      <c r="U186" s="25" t="s">
        <v>986</v>
      </c>
      <c r="V186" s="29"/>
      <c r="W186" s="29"/>
      <c r="X186" s="25" t="s">
        <v>47</v>
      </c>
      <c r="Y186" s="25" t="s">
        <v>48</v>
      </c>
      <c r="Z186" s="25" t="s">
        <v>49</v>
      </c>
      <c r="AA186" s="25" t="s">
        <v>50</v>
      </c>
      <c r="AB186" s="25" t="s">
        <v>987</v>
      </c>
      <c r="AC186" s="25"/>
      <c r="AD186" s="25"/>
      <c r="AE186" s="25">
        <v>6627.07</v>
      </c>
      <c r="AF186" s="25" t="s">
        <v>740</v>
      </c>
      <c r="AG186" s="29"/>
      <c r="AH186" s="10" t="s">
        <v>52</v>
      </c>
      <c r="AI186" s="10"/>
      <c r="AJ186" s="10"/>
      <c r="AK186" s="10"/>
    </row>
    <row r="187" hidden="1">
      <c r="A187" s="10">
        <v>186.0</v>
      </c>
      <c r="B187" s="31">
        <v>45189.0</v>
      </c>
      <c r="C187" s="25">
        <v>0.0</v>
      </c>
      <c r="D187" s="12">
        <f t="shared" ref="D187:D205" si="5">IF(C187-TODAY()&gt;0,C187-TODAY(),0)</f>
        <v>0</v>
      </c>
      <c r="E187" s="12" t="s">
        <v>37</v>
      </c>
      <c r="F187" s="25"/>
      <c r="G187" s="26"/>
      <c r="H187" s="21"/>
      <c r="I187" s="27">
        <v>9.0</v>
      </c>
      <c r="J187" s="28"/>
      <c r="K187" s="22">
        <v>45238.0</v>
      </c>
      <c r="L187" s="23" t="s">
        <v>988</v>
      </c>
      <c r="M187" s="25" t="s">
        <v>989</v>
      </c>
      <c r="N187" s="25" t="s">
        <v>990</v>
      </c>
      <c r="O187" s="25" t="s">
        <v>66</v>
      </c>
      <c r="P187" s="25">
        <v>104096.0</v>
      </c>
      <c r="Q187" s="12" t="s">
        <v>67</v>
      </c>
      <c r="R187" s="12" t="s">
        <v>116</v>
      </c>
      <c r="S187" s="32">
        <v>1250.0</v>
      </c>
      <c r="T187" s="25"/>
      <c r="U187" s="25" t="s">
        <v>991</v>
      </c>
      <c r="V187" s="25">
        <v>1.41300671402E11</v>
      </c>
      <c r="W187" s="29"/>
      <c r="X187" s="25" t="s">
        <v>47</v>
      </c>
      <c r="Y187" s="25" t="s">
        <v>120</v>
      </c>
      <c r="Z187" s="25" t="s">
        <v>49</v>
      </c>
      <c r="AA187" s="25" t="s">
        <v>72</v>
      </c>
      <c r="AB187" s="25" t="s">
        <v>719</v>
      </c>
      <c r="AC187" s="25"/>
      <c r="AD187" s="25"/>
      <c r="AE187" s="25">
        <v>26455.24</v>
      </c>
      <c r="AF187" s="25" t="s">
        <v>992</v>
      </c>
      <c r="AG187" s="29"/>
      <c r="AH187" s="10" t="s">
        <v>52</v>
      </c>
      <c r="AI187" s="10"/>
      <c r="AJ187" s="10"/>
      <c r="AK187" s="10"/>
    </row>
    <row r="188" hidden="1">
      <c r="A188" s="10">
        <v>187.0</v>
      </c>
      <c r="B188" s="31">
        <v>45183.0</v>
      </c>
      <c r="C188" s="25">
        <v>0.0</v>
      </c>
      <c r="D188" s="12">
        <f t="shared" si="5"/>
        <v>0</v>
      </c>
      <c r="E188" s="12" t="s">
        <v>37</v>
      </c>
      <c r="F188" s="25"/>
      <c r="G188" s="26"/>
      <c r="H188" s="21"/>
      <c r="I188" s="27">
        <v>1.0</v>
      </c>
      <c r="J188" s="28"/>
      <c r="K188" s="22">
        <v>45241.0</v>
      </c>
      <c r="L188" s="19" t="s">
        <v>38</v>
      </c>
      <c r="M188" s="25" t="s">
        <v>993</v>
      </c>
      <c r="N188" s="25" t="s">
        <v>994</v>
      </c>
      <c r="O188" s="25" t="s">
        <v>928</v>
      </c>
      <c r="P188" s="25">
        <v>106546.0</v>
      </c>
      <c r="Q188" s="12" t="s">
        <v>67</v>
      </c>
      <c r="R188" s="12" t="s">
        <v>116</v>
      </c>
      <c r="S188" s="32">
        <v>1360.0</v>
      </c>
      <c r="T188" s="25"/>
      <c r="U188" s="25" t="s">
        <v>995</v>
      </c>
      <c r="V188" s="25" t="s">
        <v>996</v>
      </c>
      <c r="W188" s="29"/>
      <c r="X188" s="25" t="s">
        <v>47</v>
      </c>
      <c r="Y188" s="25" t="s">
        <v>120</v>
      </c>
      <c r="Z188" s="25" t="s">
        <v>49</v>
      </c>
      <c r="AA188" s="25" t="s">
        <v>72</v>
      </c>
      <c r="AB188" s="25" t="s">
        <v>114</v>
      </c>
      <c r="AC188" s="25"/>
      <c r="AD188" s="25"/>
      <c r="AE188" s="25">
        <v>2923.12</v>
      </c>
      <c r="AF188" s="25" t="s">
        <v>740</v>
      </c>
      <c r="AG188" s="29"/>
      <c r="AH188" s="10" t="s">
        <v>52</v>
      </c>
      <c r="AI188" s="10"/>
      <c r="AJ188" s="10"/>
      <c r="AK188" s="10"/>
    </row>
    <row r="189" hidden="1">
      <c r="A189" s="10">
        <v>188.0</v>
      </c>
      <c r="B189" s="31">
        <v>45215.0</v>
      </c>
      <c r="C189" s="25">
        <v>0.0</v>
      </c>
      <c r="D189" s="12">
        <f t="shared" si="5"/>
        <v>0</v>
      </c>
      <c r="E189" s="12" t="s">
        <v>37</v>
      </c>
      <c r="F189" s="25"/>
      <c r="G189" s="26"/>
      <c r="H189" s="21"/>
      <c r="I189" s="27">
        <v>3.0</v>
      </c>
      <c r="J189" s="28"/>
      <c r="K189" s="22">
        <v>45241.0</v>
      </c>
      <c r="L189" s="23" t="s">
        <v>503</v>
      </c>
      <c r="M189" s="25" t="s">
        <v>978</v>
      </c>
      <c r="N189" s="25" t="s">
        <v>997</v>
      </c>
      <c r="O189" s="25" t="s">
        <v>979</v>
      </c>
      <c r="P189" s="25">
        <v>306682.0</v>
      </c>
      <c r="Q189" s="25" t="s">
        <v>148</v>
      </c>
      <c r="R189" s="25" t="s">
        <v>149</v>
      </c>
      <c r="S189" s="35">
        <v>1200.0</v>
      </c>
      <c r="T189" s="25"/>
      <c r="U189" s="25" t="s">
        <v>998</v>
      </c>
      <c r="V189" s="25" t="s">
        <v>999</v>
      </c>
      <c r="W189" s="29"/>
      <c r="X189" s="25" t="s">
        <v>47</v>
      </c>
      <c r="Y189" s="25" t="s">
        <v>48</v>
      </c>
      <c r="Z189" s="25" t="s">
        <v>524</v>
      </c>
      <c r="AA189" s="25" t="s">
        <v>72</v>
      </c>
      <c r="AB189" s="25" t="s">
        <v>165</v>
      </c>
      <c r="AC189" s="25"/>
      <c r="AD189" s="25"/>
      <c r="AE189" s="25">
        <v>16843.89</v>
      </c>
      <c r="AF189" s="29"/>
      <c r="AG189" s="29"/>
      <c r="AH189" s="10" t="s">
        <v>52</v>
      </c>
      <c r="AI189" s="10"/>
      <c r="AJ189" s="10"/>
      <c r="AK189" s="10"/>
    </row>
    <row r="190" hidden="1">
      <c r="A190" s="10">
        <v>189.0</v>
      </c>
      <c r="B190" s="31">
        <v>45224.0</v>
      </c>
      <c r="C190" s="25">
        <v>0.0</v>
      </c>
      <c r="D190" s="12">
        <f t="shared" si="5"/>
        <v>0</v>
      </c>
      <c r="E190" s="12" t="s">
        <v>37</v>
      </c>
      <c r="F190" s="25"/>
      <c r="G190" s="26"/>
      <c r="H190" s="21"/>
      <c r="I190" s="27">
        <v>1.0</v>
      </c>
      <c r="J190" s="28"/>
      <c r="K190" s="22">
        <v>45248.0</v>
      </c>
      <c r="L190" s="23" t="s">
        <v>86</v>
      </c>
      <c r="M190" s="25" t="s">
        <v>1000</v>
      </c>
      <c r="N190" s="25">
        <v>901281.0</v>
      </c>
      <c r="O190" s="25" t="s">
        <v>1001</v>
      </c>
      <c r="P190" s="25">
        <v>108586.0</v>
      </c>
      <c r="Q190" s="12" t="s">
        <v>42</v>
      </c>
      <c r="R190" s="25" t="s">
        <v>334</v>
      </c>
      <c r="S190" s="32">
        <v>2050.0</v>
      </c>
      <c r="T190" s="25"/>
      <c r="U190" s="25" t="s">
        <v>1002</v>
      </c>
      <c r="V190" s="25" t="s">
        <v>1003</v>
      </c>
      <c r="W190" s="29"/>
      <c r="X190" s="25" t="s">
        <v>47</v>
      </c>
      <c r="Y190" s="25" t="s">
        <v>48</v>
      </c>
      <c r="Z190" s="25" t="s">
        <v>102</v>
      </c>
      <c r="AA190" s="25" t="s">
        <v>72</v>
      </c>
      <c r="AB190" s="25" t="s">
        <v>987</v>
      </c>
      <c r="AC190" s="25"/>
      <c r="AD190" s="25"/>
      <c r="AE190" s="25">
        <v>3539.84</v>
      </c>
      <c r="AF190" s="25" t="s">
        <v>740</v>
      </c>
      <c r="AG190" s="29"/>
      <c r="AH190" s="10" t="s">
        <v>52</v>
      </c>
      <c r="AI190" s="10"/>
      <c r="AJ190" s="10"/>
      <c r="AK190" s="10"/>
    </row>
    <row r="191" hidden="1">
      <c r="A191" s="10">
        <v>190.0</v>
      </c>
      <c r="B191" s="31">
        <v>45224.0</v>
      </c>
      <c r="C191" s="25">
        <v>0.0</v>
      </c>
      <c r="D191" s="12">
        <f t="shared" si="5"/>
        <v>0</v>
      </c>
      <c r="E191" s="12" t="s">
        <v>37</v>
      </c>
      <c r="F191" s="25"/>
      <c r="G191" s="26"/>
      <c r="H191" s="21"/>
      <c r="I191" s="27">
        <v>1.0</v>
      </c>
      <c r="J191" s="28"/>
      <c r="K191" s="22">
        <v>45248.0</v>
      </c>
      <c r="L191" s="23" t="s">
        <v>86</v>
      </c>
      <c r="M191" s="25" t="s">
        <v>1004</v>
      </c>
      <c r="N191" s="25">
        <v>901280.0</v>
      </c>
      <c r="O191" s="25" t="s">
        <v>1001</v>
      </c>
      <c r="P191" s="25">
        <v>108588.0</v>
      </c>
      <c r="Q191" s="12" t="s">
        <v>42</v>
      </c>
      <c r="R191" s="25" t="s">
        <v>334</v>
      </c>
      <c r="S191" s="32">
        <v>2050.0</v>
      </c>
      <c r="T191" s="25"/>
      <c r="U191" s="25" t="s">
        <v>1005</v>
      </c>
      <c r="V191" s="25" t="s">
        <v>1006</v>
      </c>
      <c r="W191" s="29"/>
      <c r="X191" s="25" t="s">
        <v>47</v>
      </c>
      <c r="Y191" s="25" t="s">
        <v>48</v>
      </c>
      <c r="Z191" s="25" t="s">
        <v>102</v>
      </c>
      <c r="AA191" s="25" t="s">
        <v>72</v>
      </c>
      <c r="AB191" s="25" t="s">
        <v>987</v>
      </c>
      <c r="AC191" s="25"/>
      <c r="AD191" s="25"/>
      <c r="AE191" s="25">
        <v>3522.58</v>
      </c>
      <c r="AF191" s="25" t="s">
        <v>740</v>
      </c>
      <c r="AG191" s="29"/>
      <c r="AH191" s="10" t="s">
        <v>52</v>
      </c>
      <c r="AI191" s="10"/>
      <c r="AJ191" s="10"/>
      <c r="AK191" s="10"/>
    </row>
    <row r="192" hidden="1">
      <c r="A192" s="10">
        <v>191.0</v>
      </c>
      <c r="B192" s="31">
        <v>45193.0</v>
      </c>
      <c r="C192" s="25">
        <v>0.0</v>
      </c>
      <c r="D192" s="12">
        <f t="shared" si="5"/>
        <v>0</v>
      </c>
      <c r="E192" s="12" t="s">
        <v>37</v>
      </c>
      <c r="F192" s="25"/>
      <c r="G192" s="26"/>
      <c r="H192" s="21"/>
      <c r="I192" s="27">
        <v>9.0</v>
      </c>
      <c r="J192" s="28"/>
      <c r="K192" s="52">
        <v>45250.0</v>
      </c>
      <c r="L192" s="23" t="s">
        <v>988</v>
      </c>
      <c r="M192" s="25" t="s">
        <v>989</v>
      </c>
      <c r="N192" s="25" t="s">
        <v>1007</v>
      </c>
      <c r="O192" s="25" t="s">
        <v>66</v>
      </c>
      <c r="P192" s="25">
        <v>107519.0</v>
      </c>
      <c r="Q192" s="12" t="s">
        <v>67</v>
      </c>
      <c r="R192" s="12" t="s">
        <v>116</v>
      </c>
      <c r="S192" s="32">
        <v>1250.0</v>
      </c>
      <c r="T192" s="25"/>
      <c r="U192" s="25" t="s">
        <v>1008</v>
      </c>
      <c r="V192" s="25">
        <v>1.41300671436E11</v>
      </c>
      <c r="W192" s="29"/>
      <c r="X192" s="25" t="s">
        <v>47</v>
      </c>
      <c r="Y192" s="25" t="s">
        <v>120</v>
      </c>
      <c r="Z192" s="25" t="s">
        <v>49</v>
      </c>
      <c r="AA192" s="25" t="s">
        <v>72</v>
      </c>
      <c r="AB192" s="25" t="s">
        <v>719</v>
      </c>
      <c r="AC192" s="25"/>
      <c r="AD192" s="25"/>
      <c r="AE192" s="25">
        <v>29195.21</v>
      </c>
      <c r="AF192" s="25" t="s">
        <v>992</v>
      </c>
      <c r="AG192" s="29"/>
      <c r="AH192" s="10" t="s">
        <v>52</v>
      </c>
      <c r="AI192" s="10"/>
      <c r="AJ192" s="10"/>
      <c r="AK192" s="10"/>
    </row>
    <row r="193" hidden="1">
      <c r="A193" s="10">
        <v>192.0</v>
      </c>
      <c r="B193" s="31">
        <v>45231.0</v>
      </c>
      <c r="C193" s="25">
        <v>0.0</v>
      </c>
      <c r="D193" s="12">
        <f t="shared" si="5"/>
        <v>0</v>
      </c>
      <c r="E193" s="12" t="s">
        <v>37</v>
      </c>
      <c r="F193" s="25"/>
      <c r="G193" s="26"/>
      <c r="H193" s="39"/>
      <c r="I193" s="27">
        <v>1.0</v>
      </c>
      <c r="J193" s="28"/>
      <c r="K193" s="22">
        <v>45265.0</v>
      </c>
      <c r="L193" s="23" t="s">
        <v>168</v>
      </c>
      <c r="M193" s="25" t="s">
        <v>1009</v>
      </c>
      <c r="N193" s="25">
        <v>523527.0</v>
      </c>
      <c r="O193" s="25" t="s">
        <v>1010</v>
      </c>
      <c r="P193" s="25">
        <v>115809.0</v>
      </c>
      <c r="Q193" s="12" t="s">
        <v>67</v>
      </c>
      <c r="R193" s="25" t="s">
        <v>111</v>
      </c>
      <c r="S193" s="32">
        <v>1395.0</v>
      </c>
      <c r="T193" s="25"/>
      <c r="U193" s="25" t="s">
        <v>1011</v>
      </c>
      <c r="V193" s="29"/>
      <c r="W193" s="25" t="s">
        <v>1012</v>
      </c>
      <c r="X193" s="25" t="s">
        <v>47</v>
      </c>
      <c r="Y193" s="25" t="s">
        <v>120</v>
      </c>
      <c r="Z193" s="25" t="s">
        <v>49</v>
      </c>
      <c r="AA193" s="25" t="s">
        <v>72</v>
      </c>
      <c r="AB193" s="25" t="s">
        <v>739</v>
      </c>
      <c r="AC193" s="25"/>
      <c r="AD193" s="25"/>
      <c r="AE193" s="25">
        <v>2970.94</v>
      </c>
      <c r="AF193" s="29"/>
      <c r="AG193" s="29"/>
      <c r="AH193" s="10" t="s">
        <v>52</v>
      </c>
      <c r="AI193" s="10"/>
      <c r="AJ193" s="10"/>
      <c r="AK193" s="10"/>
    </row>
    <row r="194" hidden="1">
      <c r="A194" s="10">
        <v>193.0</v>
      </c>
      <c r="B194" s="53">
        <v>45238.0</v>
      </c>
      <c r="C194" s="25">
        <v>0.0</v>
      </c>
      <c r="D194" s="12">
        <f t="shared" si="5"/>
        <v>0</v>
      </c>
      <c r="E194" s="12" t="s">
        <v>37</v>
      </c>
      <c r="F194" s="25"/>
      <c r="G194" s="26"/>
      <c r="H194" s="21"/>
      <c r="I194" s="27">
        <v>2.0</v>
      </c>
      <c r="J194" s="28"/>
      <c r="K194" s="22">
        <v>45270.0</v>
      </c>
      <c r="L194" s="23" t="s">
        <v>95</v>
      </c>
      <c r="M194" s="25" t="s">
        <v>1013</v>
      </c>
      <c r="N194" s="25" t="s">
        <v>1014</v>
      </c>
      <c r="O194" s="25" t="s">
        <v>1015</v>
      </c>
      <c r="P194" s="25">
        <v>115808.0</v>
      </c>
      <c r="Q194" s="12" t="s">
        <v>42</v>
      </c>
      <c r="R194" s="25" t="s">
        <v>334</v>
      </c>
      <c r="S194" s="32">
        <v>1380.0</v>
      </c>
      <c r="T194" s="25"/>
      <c r="U194" s="25" t="s">
        <v>1016</v>
      </c>
      <c r="V194" s="25" t="s">
        <v>1017</v>
      </c>
      <c r="W194" s="29"/>
      <c r="X194" s="25" t="s">
        <v>47</v>
      </c>
      <c r="Y194" s="25" t="s">
        <v>48</v>
      </c>
      <c r="Z194" s="25" t="s">
        <v>49</v>
      </c>
      <c r="AA194" s="25" t="s">
        <v>72</v>
      </c>
      <c r="AB194" s="25" t="s">
        <v>1018</v>
      </c>
      <c r="AC194" s="25"/>
      <c r="AD194" s="25"/>
      <c r="AE194" s="25">
        <v>11482.46</v>
      </c>
      <c r="AF194" s="25" t="s">
        <v>696</v>
      </c>
      <c r="AG194" s="29"/>
      <c r="AH194" s="10" t="s">
        <v>52</v>
      </c>
      <c r="AI194" s="10"/>
      <c r="AJ194" s="10"/>
      <c r="AK194" s="10"/>
    </row>
    <row r="195" hidden="1">
      <c r="A195" s="10">
        <v>194.0</v>
      </c>
      <c r="B195" s="31">
        <v>45252.0</v>
      </c>
      <c r="C195" s="25">
        <v>0.0</v>
      </c>
      <c r="D195" s="12">
        <f t="shared" si="5"/>
        <v>0</v>
      </c>
      <c r="E195" s="12" t="s">
        <v>37</v>
      </c>
      <c r="F195" s="25"/>
      <c r="G195" s="26"/>
      <c r="H195" s="21"/>
      <c r="I195" s="27">
        <v>3.0</v>
      </c>
      <c r="J195" s="28"/>
      <c r="K195" s="22">
        <v>45270.0</v>
      </c>
      <c r="L195" s="23" t="s">
        <v>503</v>
      </c>
      <c r="M195" s="25" t="s">
        <v>547</v>
      </c>
      <c r="N195" s="25" t="s">
        <v>1019</v>
      </c>
      <c r="O195" s="25" t="s">
        <v>1020</v>
      </c>
      <c r="P195" s="25">
        <v>341926.0</v>
      </c>
      <c r="Q195" s="25" t="s">
        <v>148</v>
      </c>
      <c r="R195" s="25" t="s">
        <v>149</v>
      </c>
      <c r="S195" s="35">
        <v>1150.0</v>
      </c>
      <c r="T195" s="25"/>
      <c r="U195" s="25" t="s">
        <v>1021</v>
      </c>
      <c r="V195" s="25" t="s">
        <v>1022</v>
      </c>
      <c r="W195" s="29"/>
      <c r="X195" s="25" t="s">
        <v>1023</v>
      </c>
      <c r="Y195" s="25" t="s">
        <v>48</v>
      </c>
      <c r="Z195" s="25" t="s">
        <v>524</v>
      </c>
      <c r="AA195" s="25" t="s">
        <v>72</v>
      </c>
      <c r="AB195" s="25" t="s">
        <v>165</v>
      </c>
      <c r="AC195" s="25"/>
      <c r="AD195" s="25"/>
      <c r="AE195" s="25">
        <v>16371.39</v>
      </c>
      <c r="AF195" s="29"/>
      <c r="AG195" s="29"/>
      <c r="AH195" s="10" t="s">
        <v>52</v>
      </c>
      <c r="AI195" s="10"/>
      <c r="AJ195" s="10"/>
      <c r="AK195" s="10"/>
    </row>
    <row r="196" hidden="1">
      <c r="A196" s="10">
        <v>195.0</v>
      </c>
      <c r="B196" s="31">
        <v>45223.0</v>
      </c>
      <c r="C196" s="25">
        <v>0.0</v>
      </c>
      <c r="D196" s="12">
        <f t="shared" si="5"/>
        <v>0</v>
      </c>
      <c r="E196" s="12" t="s">
        <v>37</v>
      </c>
      <c r="F196" s="25"/>
      <c r="G196" s="26"/>
      <c r="H196" s="21"/>
      <c r="I196" s="27">
        <v>2.0</v>
      </c>
      <c r="J196" s="28"/>
      <c r="K196" s="22">
        <v>45273.0</v>
      </c>
      <c r="L196" s="23" t="s">
        <v>157</v>
      </c>
      <c r="M196" s="25" t="s">
        <v>1024</v>
      </c>
      <c r="N196" s="25" t="s">
        <v>1025</v>
      </c>
      <c r="O196" s="25" t="s">
        <v>66</v>
      </c>
      <c r="P196" s="25">
        <v>117571.0</v>
      </c>
      <c r="Q196" s="25" t="s">
        <v>160</v>
      </c>
      <c r="R196" s="25" t="s">
        <v>161</v>
      </c>
      <c r="S196" s="29"/>
      <c r="T196" s="25"/>
      <c r="U196" s="25" t="s">
        <v>1026</v>
      </c>
      <c r="V196" s="25" t="s">
        <v>1027</v>
      </c>
      <c r="W196" s="29"/>
      <c r="X196" s="25" t="s">
        <v>1023</v>
      </c>
      <c r="Y196" s="25" t="s">
        <v>48</v>
      </c>
      <c r="Z196" s="25" t="s">
        <v>524</v>
      </c>
      <c r="AA196" s="25" t="s">
        <v>72</v>
      </c>
      <c r="AB196" s="25" t="s">
        <v>165</v>
      </c>
      <c r="AC196" s="25"/>
      <c r="AD196" s="25"/>
      <c r="AE196" s="25">
        <v>7648.92</v>
      </c>
      <c r="AF196" s="29"/>
      <c r="AG196" s="29"/>
      <c r="AH196" s="10" t="s">
        <v>52</v>
      </c>
      <c r="AI196" s="10"/>
      <c r="AJ196" s="10"/>
      <c r="AK196" s="10"/>
    </row>
    <row r="197" hidden="1">
      <c r="A197" s="10">
        <v>196.0</v>
      </c>
      <c r="B197" s="31">
        <v>45264.0</v>
      </c>
      <c r="C197" s="25">
        <v>0.0</v>
      </c>
      <c r="D197" s="12">
        <f t="shared" si="5"/>
        <v>0</v>
      </c>
      <c r="E197" s="12" t="s">
        <v>37</v>
      </c>
      <c r="F197" s="25"/>
      <c r="G197" s="26"/>
      <c r="H197" s="21"/>
      <c r="I197" s="27">
        <v>4.0</v>
      </c>
      <c r="J197" s="28"/>
      <c r="K197" s="22">
        <v>45278.0</v>
      </c>
      <c r="L197" s="23" t="s">
        <v>250</v>
      </c>
      <c r="M197" s="25" t="s">
        <v>1028</v>
      </c>
      <c r="N197" s="25" t="s">
        <v>1029</v>
      </c>
      <c r="O197" s="25" t="s">
        <v>1030</v>
      </c>
      <c r="P197" s="25">
        <v>349863.0</v>
      </c>
      <c r="Q197" s="25" t="s">
        <v>370</v>
      </c>
      <c r="R197" s="25" t="s">
        <v>603</v>
      </c>
      <c r="S197" s="35">
        <v>1700.0</v>
      </c>
      <c r="T197" s="25"/>
      <c r="U197" s="25" t="s">
        <v>1031</v>
      </c>
      <c r="V197" s="25" t="s">
        <v>1032</v>
      </c>
      <c r="W197" s="29"/>
      <c r="X197" s="25" t="s">
        <v>1023</v>
      </c>
      <c r="Y197" s="25" t="s">
        <v>48</v>
      </c>
      <c r="Z197" s="25" t="s">
        <v>102</v>
      </c>
      <c r="AA197" s="25" t="s">
        <v>72</v>
      </c>
      <c r="AB197" s="25" t="s">
        <v>987</v>
      </c>
      <c r="AC197" s="25"/>
      <c r="AD197" s="25"/>
      <c r="AE197" s="25">
        <v>22157.0</v>
      </c>
      <c r="AF197" s="29"/>
      <c r="AG197" s="29"/>
      <c r="AH197" s="10" t="s">
        <v>52</v>
      </c>
      <c r="AI197" s="10"/>
      <c r="AJ197" s="10"/>
      <c r="AK197" s="10"/>
    </row>
    <row r="198" hidden="1">
      <c r="A198" s="10">
        <v>197.0</v>
      </c>
      <c r="B198" s="31">
        <v>45248.0</v>
      </c>
      <c r="C198" s="25">
        <v>0.0</v>
      </c>
      <c r="D198" s="12">
        <f t="shared" si="5"/>
        <v>0</v>
      </c>
      <c r="E198" s="12" t="s">
        <v>37</v>
      </c>
      <c r="F198" s="25"/>
      <c r="G198" s="26"/>
      <c r="H198" s="21"/>
      <c r="I198" s="27">
        <v>1.0</v>
      </c>
      <c r="J198" s="28"/>
      <c r="K198" s="22">
        <v>45280.0</v>
      </c>
      <c r="L198" s="19" t="s">
        <v>38</v>
      </c>
      <c r="M198" s="25" t="s">
        <v>1033</v>
      </c>
      <c r="N198" s="25" t="s">
        <v>1034</v>
      </c>
      <c r="O198" s="25" t="s">
        <v>1035</v>
      </c>
      <c r="P198" s="25">
        <v>120610.0</v>
      </c>
      <c r="Q198" s="12" t="s">
        <v>42</v>
      </c>
      <c r="R198" s="12" t="s">
        <v>43</v>
      </c>
      <c r="S198" s="32">
        <v>2022.0</v>
      </c>
      <c r="T198" s="25"/>
      <c r="U198" s="25" t="s">
        <v>1036</v>
      </c>
      <c r="V198" s="25" t="s">
        <v>1037</v>
      </c>
      <c r="W198" s="29"/>
      <c r="X198" s="25" t="s">
        <v>47</v>
      </c>
      <c r="Y198" s="25" t="s">
        <v>48</v>
      </c>
      <c r="Z198" s="25" t="s">
        <v>49</v>
      </c>
      <c r="AA198" s="25" t="s">
        <v>50</v>
      </c>
      <c r="AB198" s="25" t="s">
        <v>687</v>
      </c>
      <c r="AC198" s="25"/>
      <c r="AD198" s="25"/>
      <c r="AE198" s="25">
        <v>7143.15</v>
      </c>
      <c r="AF198" s="25" t="s">
        <v>740</v>
      </c>
      <c r="AG198" s="29"/>
      <c r="AH198" s="10" t="s">
        <v>52</v>
      </c>
      <c r="AI198" s="10"/>
      <c r="AJ198" s="10"/>
      <c r="AK198" s="10"/>
    </row>
    <row r="199" hidden="1">
      <c r="A199" s="10">
        <v>198.0</v>
      </c>
      <c r="B199" s="31">
        <v>45241.0</v>
      </c>
      <c r="C199" s="25">
        <v>0.0</v>
      </c>
      <c r="D199" s="12">
        <f t="shared" si="5"/>
        <v>0</v>
      </c>
      <c r="E199" s="12" t="s">
        <v>37</v>
      </c>
      <c r="F199" s="25"/>
      <c r="G199" s="26"/>
      <c r="H199" s="21"/>
      <c r="I199" s="27">
        <v>2.0</v>
      </c>
      <c r="J199" s="28"/>
      <c r="K199" s="22">
        <v>45281.0</v>
      </c>
      <c r="L199" s="19" t="s">
        <v>38</v>
      </c>
      <c r="M199" s="25" t="s">
        <v>1038</v>
      </c>
      <c r="N199" s="25" t="s">
        <v>1039</v>
      </c>
      <c r="O199" s="25" t="s">
        <v>940</v>
      </c>
      <c r="P199" s="25">
        <v>119664.0</v>
      </c>
      <c r="Q199" s="12" t="s">
        <v>42</v>
      </c>
      <c r="R199" s="12" t="s">
        <v>43</v>
      </c>
      <c r="S199" s="32">
        <v>2022.0</v>
      </c>
      <c r="T199" s="25"/>
      <c r="U199" s="25" t="s">
        <v>1040</v>
      </c>
      <c r="V199" s="25" t="s">
        <v>1041</v>
      </c>
      <c r="W199" s="29"/>
      <c r="X199" s="25" t="s">
        <v>47</v>
      </c>
      <c r="Y199" s="25" t="s">
        <v>48</v>
      </c>
      <c r="Z199" s="25" t="s">
        <v>49</v>
      </c>
      <c r="AA199" s="25" t="s">
        <v>50</v>
      </c>
      <c r="AB199" s="25" t="s">
        <v>687</v>
      </c>
      <c r="AC199" s="25"/>
      <c r="AD199" s="25"/>
      <c r="AE199" s="25">
        <v>11637.04</v>
      </c>
      <c r="AF199" s="25" t="s">
        <v>740</v>
      </c>
      <c r="AG199" s="29"/>
      <c r="AH199" s="10" t="s">
        <v>52</v>
      </c>
      <c r="AI199" s="10"/>
      <c r="AJ199" s="10"/>
      <c r="AK199" s="10"/>
    </row>
    <row r="200" hidden="1">
      <c r="A200" s="10">
        <v>199.0</v>
      </c>
      <c r="B200" s="31">
        <v>45238.0</v>
      </c>
      <c r="C200" s="25">
        <v>0.0</v>
      </c>
      <c r="D200" s="12">
        <f t="shared" si="5"/>
        <v>0</v>
      </c>
      <c r="E200" s="12" t="s">
        <v>37</v>
      </c>
      <c r="F200" s="25"/>
      <c r="G200" s="26"/>
      <c r="H200" s="21"/>
      <c r="I200" s="27">
        <v>2.0</v>
      </c>
      <c r="J200" s="28"/>
      <c r="K200" s="22">
        <v>45289.0</v>
      </c>
      <c r="L200" s="23" t="s">
        <v>157</v>
      </c>
      <c r="M200" s="25" t="s">
        <v>1042</v>
      </c>
      <c r="N200" s="25" t="s">
        <v>1043</v>
      </c>
      <c r="O200" s="25" t="s">
        <v>66</v>
      </c>
      <c r="P200" s="25">
        <v>123147.0</v>
      </c>
      <c r="Q200" s="25" t="s">
        <v>160</v>
      </c>
      <c r="R200" s="25" t="s">
        <v>161</v>
      </c>
      <c r="S200" s="29"/>
      <c r="T200" s="25"/>
      <c r="U200" s="25" t="s">
        <v>1044</v>
      </c>
      <c r="V200" s="29"/>
      <c r="W200" s="29"/>
      <c r="X200" s="25" t="s">
        <v>1023</v>
      </c>
      <c r="Y200" s="25" t="s">
        <v>48</v>
      </c>
      <c r="Z200" s="25" t="s">
        <v>524</v>
      </c>
      <c r="AA200" s="25" t="s">
        <v>72</v>
      </c>
      <c r="AB200" s="25" t="s">
        <v>165</v>
      </c>
      <c r="AC200" s="25"/>
      <c r="AD200" s="25"/>
      <c r="AE200" s="25">
        <v>8795.8</v>
      </c>
      <c r="AF200" s="29"/>
      <c r="AG200" s="29"/>
      <c r="AH200" s="10" t="s">
        <v>52</v>
      </c>
      <c r="AI200" s="10"/>
      <c r="AJ200" s="10"/>
      <c r="AK200" s="10"/>
    </row>
    <row r="201" hidden="1">
      <c r="A201" s="10">
        <v>200.0</v>
      </c>
      <c r="B201" s="31">
        <v>45256.0</v>
      </c>
      <c r="C201" s="25">
        <v>0.0</v>
      </c>
      <c r="D201" s="12">
        <f t="shared" si="5"/>
        <v>0</v>
      </c>
      <c r="E201" s="12" t="s">
        <v>37</v>
      </c>
      <c r="F201" s="25"/>
      <c r="G201" s="26"/>
      <c r="H201" s="21"/>
      <c r="I201" s="27">
        <v>6.0</v>
      </c>
      <c r="J201" s="28"/>
      <c r="K201" s="22">
        <v>45291.0</v>
      </c>
      <c r="L201" s="23" t="s">
        <v>250</v>
      </c>
      <c r="M201" s="25" t="s">
        <v>1045</v>
      </c>
      <c r="N201" s="25" t="s">
        <v>1046</v>
      </c>
      <c r="O201" s="25" t="s">
        <v>1030</v>
      </c>
      <c r="P201" s="25">
        <v>353778.0</v>
      </c>
      <c r="Q201" s="25" t="s">
        <v>370</v>
      </c>
      <c r="R201" s="25" t="s">
        <v>603</v>
      </c>
      <c r="S201" s="35">
        <v>1700.0</v>
      </c>
      <c r="T201" s="25"/>
      <c r="U201" s="25" t="s">
        <v>1047</v>
      </c>
      <c r="V201" s="25" t="s">
        <v>1048</v>
      </c>
      <c r="W201" s="29"/>
      <c r="X201" s="25" t="s">
        <v>1023</v>
      </c>
      <c r="Y201" s="25" t="s">
        <v>48</v>
      </c>
      <c r="Z201" s="25" t="s">
        <v>102</v>
      </c>
      <c r="AA201" s="25" t="s">
        <v>72</v>
      </c>
      <c r="AB201" s="25" t="s">
        <v>987</v>
      </c>
      <c r="AC201" s="25"/>
      <c r="AD201" s="25"/>
      <c r="AE201" s="25">
        <v>37197.72</v>
      </c>
      <c r="AF201" s="29"/>
      <c r="AG201" s="29"/>
      <c r="AH201" s="10" t="s">
        <v>52</v>
      </c>
      <c r="AI201" s="10"/>
      <c r="AJ201" s="10"/>
      <c r="AK201" s="10"/>
    </row>
    <row r="202" hidden="1">
      <c r="A202" s="10">
        <v>201.0</v>
      </c>
      <c r="B202" s="31">
        <v>45248.0</v>
      </c>
      <c r="C202" s="25">
        <v>0.0</v>
      </c>
      <c r="D202" s="12">
        <f t="shared" si="5"/>
        <v>0</v>
      </c>
      <c r="E202" s="12" t="s">
        <v>37</v>
      </c>
      <c r="F202" s="25"/>
      <c r="G202" s="26"/>
      <c r="H202" s="39"/>
      <c r="I202" s="27">
        <v>2.0</v>
      </c>
      <c r="J202" s="28"/>
      <c r="K202" s="22">
        <v>45293.0</v>
      </c>
      <c r="L202" s="19" t="s">
        <v>38</v>
      </c>
      <c r="M202" s="25" t="s">
        <v>1049</v>
      </c>
      <c r="N202" s="25" t="s">
        <v>1050</v>
      </c>
      <c r="O202" s="25" t="s">
        <v>940</v>
      </c>
      <c r="P202" s="25">
        <v>124051.0</v>
      </c>
      <c r="Q202" s="12" t="s">
        <v>42</v>
      </c>
      <c r="R202" s="12" t="s">
        <v>43</v>
      </c>
      <c r="S202" s="32">
        <v>2022.0</v>
      </c>
      <c r="T202" s="25"/>
      <c r="U202" s="25" t="s">
        <v>1051</v>
      </c>
      <c r="V202" s="25" t="s">
        <v>1052</v>
      </c>
      <c r="W202" s="29"/>
      <c r="X202" s="25" t="s">
        <v>47</v>
      </c>
      <c r="Y202" s="25" t="s">
        <v>48</v>
      </c>
      <c r="Z202" s="25" t="s">
        <v>49</v>
      </c>
      <c r="AA202" s="25" t="s">
        <v>50</v>
      </c>
      <c r="AB202" s="25" t="s">
        <v>687</v>
      </c>
      <c r="AC202" s="25"/>
      <c r="AD202" s="25"/>
      <c r="AE202" s="25">
        <v>9359.78</v>
      </c>
      <c r="AF202" s="25" t="s">
        <v>740</v>
      </c>
      <c r="AG202" s="29"/>
      <c r="AH202" s="10" t="s">
        <v>52</v>
      </c>
      <c r="AI202" s="10"/>
      <c r="AJ202" s="10"/>
      <c r="AK202" s="10"/>
    </row>
    <row r="203" hidden="1">
      <c r="A203" s="10">
        <v>202.0</v>
      </c>
      <c r="B203" s="31">
        <v>45248.0</v>
      </c>
      <c r="C203" s="25">
        <v>0.0</v>
      </c>
      <c r="D203" s="12">
        <f t="shared" si="5"/>
        <v>0</v>
      </c>
      <c r="E203" s="12" t="s">
        <v>37</v>
      </c>
      <c r="F203" s="25"/>
      <c r="G203" s="26"/>
      <c r="H203" s="39"/>
      <c r="I203" s="27">
        <v>1.0</v>
      </c>
      <c r="J203" s="28"/>
      <c r="K203" s="22">
        <v>45293.0</v>
      </c>
      <c r="L203" s="19" t="s">
        <v>38</v>
      </c>
      <c r="M203" s="25" t="s">
        <v>1053</v>
      </c>
      <c r="N203" s="25" t="s">
        <v>1054</v>
      </c>
      <c r="O203" s="25" t="s">
        <v>1055</v>
      </c>
      <c r="P203" s="25">
        <v>124042.0</v>
      </c>
      <c r="Q203" s="12" t="s">
        <v>42</v>
      </c>
      <c r="R203" s="12" t="s">
        <v>43</v>
      </c>
      <c r="S203" s="32">
        <v>2098.0</v>
      </c>
      <c r="T203" s="25"/>
      <c r="U203" s="25" t="s">
        <v>1056</v>
      </c>
      <c r="V203" s="25" t="s">
        <v>1057</v>
      </c>
      <c r="W203" s="29"/>
      <c r="X203" s="25" t="s">
        <v>47</v>
      </c>
      <c r="Y203" s="25" t="s">
        <v>48</v>
      </c>
      <c r="Z203" s="25" t="s">
        <v>49</v>
      </c>
      <c r="AA203" s="25" t="s">
        <v>50</v>
      </c>
      <c r="AB203" s="25" t="s">
        <v>687</v>
      </c>
      <c r="AC203" s="25"/>
      <c r="AD203" s="25"/>
      <c r="AE203" s="25">
        <v>3553.77</v>
      </c>
      <c r="AF203" s="29"/>
      <c r="AG203" s="29"/>
      <c r="AH203" s="10" t="s">
        <v>52</v>
      </c>
      <c r="AI203" s="10"/>
      <c r="AJ203" s="10"/>
      <c r="AK203" s="10"/>
    </row>
    <row r="204" hidden="1">
      <c r="A204" s="10">
        <v>203.0</v>
      </c>
      <c r="B204" s="31">
        <v>45253.0</v>
      </c>
      <c r="C204" s="25">
        <v>0.0</v>
      </c>
      <c r="D204" s="12">
        <f t="shared" si="5"/>
        <v>0</v>
      </c>
      <c r="E204" s="12" t="s">
        <v>37</v>
      </c>
      <c r="F204" s="25"/>
      <c r="G204" s="26"/>
      <c r="H204" s="39"/>
      <c r="I204" s="27">
        <v>1.0</v>
      </c>
      <c r="J204" s="28"/>
      <c r="K204" s="22">
        <v>45300.0</v>
      </c>
      <c r="L204" s="23" t="s">
        <v>1058</v>
      </c>
      <c r="M204" s="25" t="s">
        <v>1059</v>
      </c>
      <c r="N204" s="25" t="s">
        <v>1060</v>
      </c>
      <c r="O204" s="25" t="s">
        <v>1061</v>
      </c>
      <c r="P204" s="25">
        <v>657.0</v>
      </c>
      <c r="Q204" s="12" t="s">
        <v>67</v>
      </c>
      <c r="R204" s="25" t="s">
        <v>416</v>
      </c>
      <c r="S204" s="32">
        <v>2750.0</v>
      </c>
      <c r="T204" s="25"/>
      <c r="U204" s="25" t="s">
        <v>1062</v>
      </c>
      <c r="V204" s="25" t="s">
        <v>1063</v>
      </c>
      <c r="W204" s="29"/>
      <c r="X204" s="25" t="s">
        <v>1023</v>
      </c>
      <c r="Y204" s="25" t="s">
        <v>48</v>
      </c>
      <c r="Z204" s="25" t="s">
        <v>102</v>
      </c>
      <c r="AA204" s="25" t="s">
        <v>62</v>
      </c>
      <c r="AB204" s="25" t="s">
        <v>987</v>
      </c>
      <c r="AC204" s="25"/>
      <c r="AD204" s="25"/>
      <c r="AE204" s="25">
        <v>5401.59</v>
      </c>
      <c r="AF204" s="25" t="s">
        <v>1064</v>
      </c>
      <c r="AG204" s="29"/>
      <c r="AH204" s="10" t="s">
        <v>52</v>
      </c>
      <c r="AI204" s="10"/>
      <c r="AJ204" s="10"/>
      <c r="AK204" s="10"/>
    </row>
    <row r="205" hidden="1">
      <c r="A205" s="10">
        <v>204.0</v>
      </c>
      <c r="B205" s="31">
        <v>45251.0</v>
      </c>
      <c r="C205" s="25">
        <v>0.0</v>
      </c>
      <c r="D205" s="12">
        <f t="shared" si="5"/>
        <v>0</v>
      </c>
      <c r="E205" s="12" t="s">
        <v>37</v>
      </c>
      <c r="F205" s="29"/>
      <c r="G205" s="30"/>
      <c r="H205" s="21"/>
      <c r="I205" s="27">
        <v>1.0</v>
      </c>
      <c r="J205" s="28"/>
      <c r="K205" s="22">
        <v>45302.0</v>
      </c>
      <c r="L205" s="19" t="s">
        <v>38</v>
      </c>
      <c r="M205" s="25" t="s">
        <v>822</v>
      </c>
      <c r="N205" s="25" t="s">
        <v>1065</v>
      </c>
      <c r="O205" s="25" t="s">
        <v>1066</v>
      </c>
      <c r="P205" s="29"/>
      <c r="Q205" s="12" t="s">
        <v>67</v>
      </c>
      <c r="R205" s="25" t="s">
        <v>111</v>
      </c>
      <c r="S205" s="32">
        <v>2350.0</v>
      </c>
      <c r="T205" s="25"/>
      <c r="U205" s="25" t="s">
        <v>1067</v>
      </c>
      <c r="V205" s="25" t="s">
        <v>1068</v>
      </c>
      <c r="W205" s="29"/>
      <c r="X205" s="25" t="s">
        <v>1023</v>
      </c>
      <c r="Y205" s="25" t="s">
        <v>48</v>
      </c>
      <c r="Z205" s="25" t="s">
        <v>49</v>
      </c>
      <c r="AA205" s="25" t="s">
        <v>72</v>
      </c>
      <c r="AB205" s="25" t="s">
        <v>739</v>
      </c>
      <c r="AC205" s="29"/>
      <c r="AD205" s="29"/>
      <c r="AE205" s="29"/>
      <c r="AF205" s="29"/>
      <c r="AG205" s="29"/>
      <c r="AH205" s="10" t="s">
        <v>52</v>
      </c>
      <c r="AI205" s="10"/>
      <c r="AJ205" s="10"/>
      <c r="AK205" s="10"/>
    </row>
    <row r="206" hidden="1">
      <c r="A206" s="10">
        <v>205.0</v>
      </c>
      <c r="B206" s="31">
        <v>45263.0</v>
      </c>
      <c r="C206" s="25">
        <v>0.0</v>
      </c>
      <c r="D206" s="54" t="s">
        <v>1069</v>
      </c>
      <c r="E206" s="12" t="s">
        <v>37</v>
      </c>
      <c r="F206" s="29"/>
      <c r="G206" s="30"/>
      <c r="H206" s="21"/>
      <c r="I206" s="27">
        <v>1.0</v>
      </c>
      <c r="J206" s="28"/>
      <c r="K206" s="22">
        <v>45307.0</v>
      </c>
      <c r="L206" s="23" t="s">
        <v>86</v>
      </c>
      <c r="M206" s="25" t="s">
        <v>1070</v>
      </c>
      <c r="N206" s="25">
        <v>900002.0</v>
      </c>
      <c r="O206" s="25" t="s">
        <v>1071</v>
      </c>
      <c r="P206" s="25">
        <v>5146.0</v>
      </c>
      <c r="Q206" s="12" t="s">
        <v>42</v>
      </c>
      <c r="R206" s="25" t="s">
        <v>334</v>
      </c>
      <c r="S206" s="32">
        <v>1300.0</v>
      </c>
      <c r="T206" s="25"/>
      <c r="U206" s="25" t="s">
        <v>1072</v>
      </c>
      <c r="V206" s="25" t="s">
        <v>1073</v>
      </c>
      <c r="W206" s="29"/>
      <c r="X206" s="25" t="s">
        <v>1023</v>
      </c>
      <c r="Y206" s="25" t="s">
        <v>48</v>
      </c>
      <c r="Z206" s="25" t="s">
        <v>49</v>
      </c>
      <c r="AA206" s="25" t="s">
        <v>72</v>
      </c>
      <c r="AB206" s="25" t="s">
        <v>1018</v>
      </c>
      <c r="AC206" s="29"/>
      <c r="AD206" s="29"/>
      <c r="AE206" s="29"/>
      <c r="AF206" s="29"/>
      <c r="AG206" s="29"/>
      <c r="AH206" s="10" t="s">
        <v>52</v>
      </c>
      <c r="AI206" s="10"/>
      <c r="AJ206" s="10"/>
      <c r="AK206" s="10"/>
    </row>
    <row r="207" hidden="1">
      <c r="A207" s="10">
        <v>206.0</v>
      </c>
      <c r="B207" s="31">
        <v>45263.0</v>
      </c>
      <c r="C207" s="25">
        <v>0.0</v>
      </c>
      <c r="D207" s="54" t="s">
        <v>1069</v>
      </c>
      <c r="E207" s="12" t="s">
        <v>37</v>
      </c>
      <c r="F207" s="29"/>
      <c r="G207" s="30"/>
      <c r="H207" s="21"/>
      <c r="I207" s="27">
        <v>1.0</v>
      </c>
      <c r="J207" s="28"/>
      <c r="K207" s="22">
        <v>45308.0</v>
      </c>
      <c r="L207" s="23" t="s">
        <v>86</v>
      </c>
      <c r="M207" s="25" t="s">
        <v>1074</v>
      </c>
      <c r="N207" s="25">
        <v>900003.0</v>
      </c>
      <c r="O207" s="25" t="s">
        <v>1075</v>
      </c>
      <c r="P207" s="25">
        <v>5161.0</v>
      </c>
      <c r="Q207" s="12" t="s">
        <v>42</v>
      </c>
      <c r="R207" s="25" t="s">
        <v>334</v>
      </c>
      <c r="S207" s="32">
        <v>1300.0</v>
      </c>
      <c r="T207" s="25"/>
      <c r="U207" s="25" t="s">
        <v>1076</v>
      </c>
      <c r="V207" s="25" t="s">
        <v>1077</v>
      </c>
      <c r="W207" s="29"/>
      <c r="X207" s="25" t="s">
        <v>1023</v>
      </c>
      <c r="Y207" s="25" t="s">
        <v>48</v>
      </c>
      <c r="Z207" s="25" t="s">
        <v>49</v>
      </c>
      <c r="AA207" s="25" t="s">
        <v>72</v>
      </c>
      <c r="AB207" s="25" t="s">
        <v>1018</v>
      </c>
      <c r="AC207" s="29"/>
      <c r="AD207" s="29"/>
      <c r="AE207" s="29"/>
      <c r="AF207" s="29"/>
      <c r="AG207" s="29"/>
      <c r="AH207" s="10" t="s">
        <v>52</v>
      </c>
      <c r="AI207" s="10"/>
      <c r="AJ207" s="10"/>
      <c r="AK207" s="10"/>
    </row>
    <row r="208" hidden="1">
      <c r="A208" s="10">
        <v>207.0</v>
      </c>
      <c r="B208" s="31">
        <v>45277.0</v>
      </c>
      <c r="C208" s="25">
        <v>0.0</v>
      </c>
      <c r="D208" s="12">
        <f t="shared" ref="D208:D285" si="6">IF(C208-TODAY()&gt;0,C208-TODAY(),0)</f>
        <v>0</v>
      </c>
      <c r="E208" s="12" t="s">
        <v>37</v>
      </c>
      <c r="F208" s="25"/>
      <c r="G208" s="26"/>
      <c r="H208" s="21"/>
      <c r="I208" s="27">
        <v>2.0</v>
      </c>
      <c r="J208" s="28"/>
      <c r="K208" s="22">
        <v>45309.0</v>
      </c>
      <c r="L208" s="23" t="s">
        <v>555</v>
      </c>
      <c r="M208" s="25" t="s">
        <v>1078</v>
      </c>
      <c r="N208" s="25" t="s">
        <v>1079</v>
      </c>
      <c r="O208" s="25" t="s">
        <v>1080</v>
      </c>
      <c r="P208" s="25">
        <v>10121.0</v>
      </c>
      <c r="Q208" s="12" t="s">
        <v>80</v>
      </c>
      <c r="R208" s="25" t="s">
        <v>755</v>
      </c>
      <c r="S208" s="32">
        <v>650.0</v>
      </c>
      <c r="T208" s="25"/>
      <c r="U208" s="25"/>
      <c r="V208" s="25"/>
      <c r="W208" s="29"/>
      <c r="X208" s="25" t="s">
        <v>1023</v>
      </c>
      <c r="Y208" s="25" t="s">
        <v>48</v>
      </c>
      <c r="Z208" s="25" t="s">
        <v>49</v>
      </c>
      <c r="AA208" s="25" t="s">
        <v>72</v>
      </c>
      <c r="AB208" s="25" t="s">
        <v>966</v>
      </c>
      <c r="AC208" s="25"/>
      <c r="AD208" s="25"/>
      <c r="AE208" s="25">
        <v>12246.13</v>
      </c>
      <c r="AF208" s="29"/>
      <c r="AG208" s="29"/>
      <c r="AH208" s="10" t="s">
        <v>52</v>
      </c>
      <c r="AI208" s="10"/>
      <c r="AJ208" s="10"/>
      <c r="AK208" s="10"/>
    </row>
    <row r="209" hidden="1">
      <c r="A209" s="10">
        <v>208.0</v>
      </c>
      <c r="B209" s="31">
        <v>45277.0</v>
      </c>
      <c r="C209" s="25">
        <v>0.0</v>
      </c>
      <c r="D209" s="12">
        <f t="shared" si="6"/>
        <v>0</v>
      </c>
      <c r="E209" s="12" t="s">
        <v>37</v>
      </c>
      <c r="F209" s="25"/>
      <c r="G209" s="26"/>
      <c r="H209" s="21"/>
      <c r="I209" s="27">
        <v>1.0</v>
      </c>
      <c r="J209" s="28"/>
      <c r="K209" s="22">
        <v>45309.0</v>
      </c>
      <c r="L209" s="23" t="s">
        <v>555</v>
      </c>
      <c r="M209" s="25" t="s">
        <v>1078</v>
      </c>
      <c r="N209" s="25">
        <v>2.300000541E9</v>
      </c>
      <c r="O209" s="25" t="s">
        <v>1080</v>
      </c>
      <c r="P209" s="25">
        <v>10114.0</v>
      </c>
      <c r="Q209" s="12" t="s">
        <v>80</v>
      </c>
      <c r="R209" s="25" t="s">
        <v>755</v>
      </c>
      <c r="S209" s="32">
        <v>650.0</v>
      </c>
      <c r="T209" s="25"/>
      <c r="U209" s="25" t="s">
        <v>1081</v>
      </c>
      <c r="V209" s="25" t="s">
        <v>1082</v>
      </c>
      <c r="W209" s="29"/>
      <c r="X209" s="25" t="s">
        <v>1023</v>
      </c>
      <c r="Y209" s="25" t="s">
        <v>48</v>
      </c>
      <c r="Z209" s="25" t="s">
        <v>49</v>
      </c>
      <c r="AA209" s="25" t="s">
        <v>72</v>
      </c>
      <c r="AB209" s="25" t="s">
        <v>966</v>
      </c>
      <c r="AC209" s="25"/>
      <c r="AD209" s="25"/>
      <c r="AE209" s="25">
        <v>6307.13</v>
      </c>
      <c r="AF209" s="25"/>
      <c r="AG209" s="29"/>
      <c r="AH209" s="10" t="s">
        <v>52</v>
      </c>
      <c r="AI209" s="10"/>
      <c r="AJ209" s="10"/>
      <c r="AK209" s="10"/>
    </row>
    <row r="210" hidden="1">
      <c r="A210" s="10">
        <v>209.0</v>
      </c>
      <c r="B210" s="31">
        <v>45284.0</v>
      </c>
      <c r="C210" s="25">
        <v>0.0</v>
      </c>
      <c r="D210" s="12">
        <f t="shared" si="6"/>
        <v>0</v>
      </c>
      <c r="E210" s="12" t="s">
        <v>37</v>
      </c>
      <c r="F210" s="29"/>
      <c r="G210" s="30"/>
      <c r="H210" s="55"/>
      <c r="I210" s="27">
        <v>3.0</v>
      </c>
      <c r="J210" s="28"/>
      <c r="K210" s="56">
        <v>45311.0</v>
      </c>
      <c r="L210" s="23" t="s">
        <v>180</v>
      </c>
      <c r="M210" s="25" t="s">
        <v>815</v>
      </c>
      <c r="N210" s="25" t="s">
        <v>1083</v>
      </c>
      <c r="O210" s="25" t="s">
        <v>704</v>
      </c>
      <c r="P210" s="25">
        <v>10947.0</v>
      </c>
      <c r="Q210" s="12" t="s">
        <v>80</v>
      </c>
      <c r="R210" s="12" t="s">
        <v>183</v>
      </c>
      <c r="S210" s="32">
        <v>1050.0</v>
      </c>
      <c r="T210" s="25"/>
      <c r="U210" s="25" t="s">
        <v>1084</v>
      </c>
      <c r="V210" s="25" t="s">
        <v>1085</v>
      </c>
      <c r="W210" s="29"/>
      <c r="X210" s="25" t="s">
        <v>47</v>
      </c>
      <c r="Y210" s="25" t="s">
        <v>48</v>
      </c>
      <c r="Z210" s="25" t="s">
        <v>102</v>
      </c>
      <c r="AA210" s="25" t="s">
        <v>72</v>
      </c>
      <c r="AB210" s="25" t="s">
        <v>739</v>
      </c>
      <c r="AC210" s="29"/>
      <c r="AD210" s="29"/>
      <c r="AE210" s="29"/>
      <c r="AF210" s="29"/>
      <c r="AG210" s="29"/>
      <c r="AH210" s="10" t="s">
        <v>52</v>
      </c>
      <c r="AI210" s="10"/>
      <c r="AJ210" s="10"/>
      <c r="AK210" s="10"/>
    </row>
    <row r="211" hidden="1">
      <c r="A211" s="10">
        <v>210.0</v>
      </c>
      <c r="B211" s="31">
        <v>45255.0</v>
      </c>
      <c r="C211" s="25">
        <v>0.0</v>
      </c>
      <c r="D211" s="12">
        <f t="shared" si="6"/>
        <v>0</v>
      </c>
      <c r="E211" s="12" t="s">
        <v>37</v>
      </c>
      <c r="F211" s="29"/>
      <c r="G211" s="30"/>
      <c r="H211" s="57"/>
      <c r="I211" s="27">
        <v>23.0</v>
      </c>
      <c r="J211" s="28"/>
      <c r="K211" s="22">
        <v>45314.0</v>
      </c>
      <c r="L211" s="19" t="s">
        <v>38</v>
      </c>
      <c r="M211" s="25" t="s">
        <v>1086</v>
      </c>
      <c r="N211" s="25" t="s">
        <v>1087</v>
      </c>
      <c r="O211" s="25" t="s">
        <v>1088</v>
      </c>
      <c r="P211" s="25">
        <v>2675.0</v>
      </c>
      <c r="Q211" s="12" t="s">
        <v>67</v>
      </c>
      <c r="R211" s="31" t="s">
        <v>775</v>
      </c>
      <c r="S211" s="32">
        <v>2250.0</v>
      </c>
      <c r="T211" s="25"/>
      <c r="U211" s="25" t="s">
        <v>1089</v>
      </c>
      <c r="V211" s="29"/>
      <c r="W211" s="29"/>
      <c r="X211" s="25" t="s">
        <v>47</v>
      </c>
      <c r="Y211" s="25" t="s">
        <v>120</v>
      </c>
      <c r="Z211" s="25" t="s">
        <v>49</v>
      </c>
      <c r="AA211" s="25" t="s">
        <v>72</v>
      </c>
      <c r="AB211" s="25" t="s">
        <v>1090</v>
      </c>
      <c r="AC211" s="29"/>
      <c r="AD211" s="29"/>
      <c r="AE211" s="25"/>
      <c r="AF211" s="25" t="s">
        <v>740</v>
      </c>
      <c r="AG211" s="29"/>
      <c r="AH211" s="10" t="s">
        <v>52</v>
      </c>
      <c r="AI211" s="10"/>
      <c r="AJ211" s="10"/>
      <c r="AK211" s="10"/>
    </row>
    <row r="212" hidden="1">
      <c r="A212" s="10">
        <v>211.0</v>
      </c>
      <c r="B212" s="31">
        <v>45255.0</v>
      </c>
      <c r="C212" s="25">
        <v>0.0</v>
      </c>
      <c r="D212" s="12">
        <f t="shared" si="6"/>
        <v>0</v>
      </c>
      <c r="E212" s="12" t="s">
        <v>37</v>
      </c>
      <c r="F212" s="29"/>
      <c r="G212" s="30"/>
      <c r="H212" s="21"/>
      <c r="I212" s="27">
        <v>23.0</v>
      </c>
      <c r="J212" s="28"/>
      <c r="K212" s="22">
        <v>45316.0</v>
      </c>
      <c r="L212" s="19" t="s">
        <v>38</v>
      </c>
      <c r="M212" s="25" t="s">
        <v>1086</v>
      </c>
      <c r="N212" s="25" t="s">
        <v>1091</v>
      </c>
      <c r="O212" s="25" t="s">
        <v>1088</v>
      </c>
      <c r="P212" s="25">
        <v>2718.0</v>
      </c>
      <c r="Q212" s="12" t="s">
        <v>67</v>
      </c>
      <c r="R212" s="31" t="s">
        <v>775</v>
      </c>
      <c r="S212" s="32">
        <v>2250.0</v>
      </c>
      <c r="T212" s="25"/>
      <c r="U212" s="25" t="s">
        <v>1092</v>
      </c>
      <c r="V212" s="29"/>
      <c r="W212" s="29"/>
      <c r="X212" s="25" t="s">
        <v>47</v>
      </c>
      <c r="Y212" s="25" t="s">
        <v>120</v>
      </c>
      <c r="Z212" s="25" t="s">
        <v>49</v>
      </c>
      <c r="AA212" s="25" t="s">
        <v>72</v>
      </c>
      <c r="AB212" s="25" t="s">
        <v>1090</v>
      </c>
      <c r="AC212" s="29"/>
      <c r="AD212" s="29"/>
      <c r="AE212" s="25"/>
      <c r="AF212" s="25" t="s">
        <v>740</v>
      </c>
      <c r="AG212" s="29"/>
      <c r="AH212" s="10" t="s">
        <v>52</v>
      </c>
      <c r="AI212" s="10"/>
      <c r="AJ212" s="10"/>
      <c r="AK212" s="10"/>
    </row>
    <row r="213" hidden="1">
      <c r="A213" s="10">
        <v>212.0</v>
      </c>
      <c r="B213" s="31">
        <v>45285.0</v>
      </c>
      <c r="C213" s="25">
        <v>0.0</v>
      </c>
      <c r="D213" s="12">
        <f t="shared" si="6"/>
        <v>0</v>
      </c>
      <c r="E213" s="12" t="s">
        <v>37</v>
      </c>
      <c r="F213" s="29"/>
      <c r="G213" s="30"/>
      <c r="H213" s="55"/>
      <c r="I213" s="27">
        <v>1.0</v>
      </c>
      <c r="J213" s="28"/>
      <c r="K213" s="56">
        <v>45316.0</v>
      </c>
      <c r="L213" s="19" t="s">
        <v>38</v>
      </c>
      <c r="M213" s="25" t="s">
        <v>1093</v>
      </c>
      <c r="N213" s="25" t="s">
        <v>1094</v>
      </c>
      <c r="O213" s="25" t="s">
        <v>1095</v>
      </c>
      <c r="P213" s="29"/>
      <c r="Q213" s="12" t="s">
        <v>42</v>
      </c>
      <c r="R213" s="12" t="s">
        <v>43</v>
      </c>
      <c r="S213" s="32">
        <v>1890.0</v>
      </c>
      <c r="T213" s="25"/>
      <c r="U213" s="25" t="s">
        <v>1096</v>
      </c>
      <c r="V213" s="25" t="s">
        <v>1097</v>
      </c>
      <c r="W213" s="29"/>
      <c r="X213" s="25" t="s">
        <v>1023</v>
      </c>
      <c r="Y213" s="25" t="s">
        <v>48</v>
      </c>
      <c r="Z213" s="25" t="s">
        <v>49</v>
      </c>
      <c r="AA213" s="25" t="s">
        <v>72</v>
      </c>
      <c r="AB213" s="25" t="s">
        <v>1090</v>
      </c>
      <c r="AC213" s="29"/>
      <c r="AD213" s="29"/>
      <c r="AE213" s="25"/>
      <c r="AF213" s="25" t="s">
        <v>740</v>
      </c>
      <c r="AG213" s="29"/>
      <c r="AH213" s="10" t="s">
        <v>52</v>
      </c>
      <c r="AI213" s="10"/>
      <c r="AJ213" s="10"/>
      <c r="AK213" s="10"/>
    </row>
    <row r="214" hidden="1">
      <c r="A214" s="10">
        <v>213.0</v>
      </c>
      <c r="B214" s="31">
        <v>45285.0</v>
      </c>
      <c r="C214" s="25">
        <v>0.0</v>
      </c>
      <c r="D214" s="12">
        <f t="shared" si="6"/>
        <v>0</v>
      </c>
      <c r="E214" s="12" t="s">
        <v>37</v>
      </c>
      <c r="F214" s="29"/>
      <c r="G214" s="30"/>
      <c r="H214" s="55"/>
      <c r="I214" s="27">
        <v>1.0</v>
      </c>
      <c r="J214" s="28"/>
      <c r="K214" s="56">
        <v>45319.0</v>
      </c>
      <c r="L214" s="19" t="s">
        <v>38</v>
      </c>
      <c r="M214" s="25" t="s">
        <v>1098</v>
      </c>
      <c r="N214" s="25" t="s">
        <v>1099</v>
      </c>
      <c r="O214" s="25" t="s">
        <v>1095</v>
      </c>
      <c r="P214" s="25">
        <v>8076.0</v>
      </c>
      <c r="Q214" s="12" t="s">
        <v>42</v>
      </c>
      <c r="R214" s="12" t="s">
        <v>43</v>
      </c>
      <c r="S214" s="29"/>
      <c r="T214" s="25"/>
      <c r="U214" s="25" t="s">
        <v>1100</v>
      </c>
      <c r="V214" s="25" t="s">
        <v>1101</v>
      </c>
      <c r="W214" s="29"/>
      <c r="X214" s="25" t="s">
        <v>1023</v>
      </c>
      <c r="Y214" s="25" t="s">
        <v>48</v>
      </c>
      <c r="Z214" s="25" t="s">
        <v>49</v>
      </c>
      <c r="AA214" s="25" t="s">
        <v>72</v>
      </c>
      <c r="AB214" s="29"/>
      <c r="AC214" s="29"/>
      <c r="AD214" s="29"/>
      <c r="AE214" s="25"/>
      <c r="AF214" s="25" t="s">
        <v>1102</v>
      </c>
      <c r="AG214" s="29"/>
      <c r="AH214" s="10" t="s">
        <v>52</v>
      </c>
      <c r="AI214" s="10"/>
      <c r="AJ214" s="10"/>
      <c r="AK214" s="10"/>
    </row>
    <row r="215" hidden="1">
      <c r="A215" s="10">
        <v>214.0</v>
      </c>
      <c r="B215" s="31">
        <v>45275.0</v>
      </c>
      <c r="C215" s="25">
        <v>0.0</v>
      </c>
      <c r="D215" s="12">
        <f t="shared" si="6"/>
        <v>0</v>
      </c>
      <c r="E215" s="12" t="s">
        <v>37</v>
      </c>
      <c r="F215" s="29"/>
      <c r="G215" s="30"/>
      <c r="H215" s="55"/>
      <c r="I215" s="27">
        <v>1.0</v>
      </c>
      <c r="J215" s="28"/>
      <c r="K215" s="56">
        <v>45321.0</v>
      </c>
      <c r="L215" s="23" t="s">
        <v>86</v>
      </c>
      <c r="M215" s="25" t="s">
        <v>1103</v>
      </c>
      <c r="N215" s="25">
        <v>900004.0</v>
      </c>
      <c r="O215" s="25" t="s">
        <v>1104</v>
      </c>
      <c r="P215" s="25">
        <v>8378.0</v>
      </c>
      <c r="Q215" s="12" t="s">
        <v>42</v>
      </c>
      <c r="R215" s="25" t="s">
        <v>334</v>
      </c>
      <c r="S215" s="32">
        <v>1250.0</v>
      </c>
      <c r="T215" s="25"/>
      <c r="U215" s="25" t="s">
        <v>1105</v>
      </c>
      <c r="V215" s="25" t="s">
        <v>1106</v>
      </c>
      <c r="W215" s="29"/>
      <c r="X215" s="25" t="s">
        <v>1023</v>
      </c>
      <c r="Y215" s="25" t="s">
        <v>48</v>
      </c>
      <c r="Z215" s="25" t="s">
        <v>49</v>
      </c>
      <c r="AA215" s="25" t="s">
        <v>581</v>
      </c>
      <c r="AB215" s="25" t="s">
        <v>1018</v>
      </c>
      <c r="AC215" s="29"/>
      <c r="AD215" s="29"/>
      <c r="AE215" s="29"/>
      <c r="AF215" s="29"/>
      <c r="AG215" s="29"/>
      <c r="AH215" s="10" t="s">
        <v>52</v>
      </c>
      <c r="AI215" s="10"/>
      <c r="AJ215" s="10"/>
      <c r="AK215" s="10"/>
    </row>
    <row r="216" hidden="1">
      <c r="A216" s="10">
        <v>215.0</v>
      </c>
      <c r="B216" s="31">
        <v>45275.0</v>
      </c>
      <c r="C216" s="25">
        <v>0.0</v>
      </c>
      <c r="D216" s="12">
        <f t="shared" si="6"/>
        <v>0</v>
      </c>
      <c r="E216" s="12" t="s">
        <v>37</v>
      </c>
      <c r="F216" s="29"/>
      <c r="G216" s="30"/>
      <c r="H216" s="21"/>
      <c r="I216" s="27">
        <v>1.0</v>
      </c>
      <c r="J216" s="28"/>
      <c r="K216" s="22">
        <v>45321.0</v>
      </c>
      <c r="L216" s="23" t="s">
        <v>86</v>
      </c>
      <c r="M216" s="25" t="s">
        <v>1103</v>
      </c>
      <c r="N216" s="25">
        <v>900006.0</v>
      </c>
      <c r="O216" s="25" t="s">
        <v>1104</v>
      </c>
      <c r="P216" s="25">
        <v>8328.0</v>
      </c>
      <c r="Q216" s="12" t="s">
        <v>42</v>
      </c>
      <c r="R216" s="25" t="s">
        <v>334</v>
      </c>
      <c r="S216" s="32">
        <v>1250.0</v>
      </c>
      <c r="T216" s="25"/>
      <c r="U216" s="25" t="s">
        <v>1107</v>
      </c>
      <c r="V216" s="25" t="s">
        <v>1108</v>
      </c>
      <c r="W216" s="29"/>
      <c r="X216" s="25" t="s">
        <v>1023</v>
      </c>
      <c r="Y216" s="25" t="s">
        <v>48</v>
      </c>
      <c r="Z216" s="25" t="s">
        <v>49</v>
      </c>
      <c r="AA216" s="25" t="s">
        <v>581</v>
      </c>
      <c r="AB216" s="25" t="s">
        <v>1018</v>
      </c>
      <c r="AC216" s="29"/>
      <c r="AD216" s="29"/>
      <c r="AE216" s="25"/>
      <c r="AF216" s="25"/>
      <c r="AG216" s="29"/>
      <c r="AH216" s="10" t="s">
        <v>52</v>
      </c>
      <c r="AI216" s="10"/>
      <c r="AJ216" s="10"/>
      <c r="AK216" s="10"/>
    </row>
    <row r="217" hidden="1">
      <c r="A217" s="10">
        <v>216.0</v>
      </c>
      <c r="B217" s="31">
        <v>45275.0</v>
      </c>
      <c r="C217" s="25">
        <v>0.0</v>
      </c>
      <c r="D217" s="12">
        <f t="shared" si="6"/>
        <v>0</v>
      </c>
      <c r="E217" s="12" t="s">
        <v>37</v>
      </c>
      <c r="F217" s="29"/>
      <c r="G217" s="30"/>
      <c r="H217" s="21"/>
      <c r="I217" s="27">
        <v>1.0</v>
      </c>
      <c r="J217" s="28"/>
      <c r="K217" s="22">
        <v>45321.0</v>
      </c>
      <c r="L217" s="23" t="s">
        <v>95</v>
      </c>
      <c r="M217" s="25" t="s">
        <v>1109</v>
      </c>
      <c r="N217" s="25" t="s">
        <v>1110</v>
      </c>
      <c r="O217" s="25" t="s">
        <v>1111</v>
      </c>
      <c r="P217" s="25">
        <v>7846.0</v>
      </c>
      <c r="Q217" s="12" t="s">
        <v>42</v>
      </c>
      <c r="R217" s="25" t="s">
        <v>334</v>
      </c>
      <c r="S217" s="32">
        <v>1150.0</v>
      </c>
      <c r="T217" s="25"/>
      <c r="U217" s="25" t="s">
        <v>1112</v>
      </c>
      <c r="V217" s="25" t="s">
        <v>1113</v>
      </c>
      <c r="W217" s="29"/>
      <c r="X217" s="25" t="s">
        <v>1023</v>
      </c>
      <c r="Y217" s="25" t="s">
        <v>120</v>
      </c>
      <c r="Z217" s="25" t="s">
        <v>49</v>
      </c>
      <c r="AA217" s="25" t="s">
        <v>72</v>
      </c>
      <c r="AB217" s="25" t="s">
        <v>1114</v>
      </c>
      <c r="AC217" s="29"/>
      <c r="AD217" s="29"/>
      <c r="AE217" s="29"/>
      <c r="AF217" s="29"/>
      <c r="AG217" s="29"/>
      <c r="AH217" s="10" t="s">
        <v>52</v>
      </c>
      <c r="AI217" s="10"/>
      <c r="AJ217" s="10"/>
      <c r="AK217" s="10"/>
    </row>
    <row r="218" ht="32.25" hidden="1" customHeight="1">
      <c r="A218" s="10">
        <v>217.0</v>
      </c>
      <c r="B218" s="31">
        <v>45285.0</v>
      </c>
      <c r="C218" s="25">
        <v>0.0</v>
      </c>
      <c r="D218" s="12">
        <f t="shared" si="6"/>
        <v>0</v>
      </c>
      <c r="E218" s="12" t="s">
        <v>37</v>
      </c>
      <c r="F218" s="29"/>
      <c r="G218" s="30"/>
      <c r="H218" s="55"/>
      <c r="I218" s="27">
        <v>2.0</v>
      </c>
      <c r="J218" s="28"/>
      <c r="K218" s="56">
        <v>45321.0</v>
      </c>
      <c r="L218" s="19" t="s">
        <v>38</v>
      </c>
      <c r="M218" s="25" t="s">
        <v>938</v>
      </c>
      <c r="N218" s="25" t="s">
        <v>1115</v>
      </c>
      <c r="O218" s="25" t="s">
        <v>1116</v>
      </c>
      <c r="P218" s="29"/>
      <c r="Q218" s="12" t="s">
        <v>42</v>
      </c>
      <c r="R218" s="12" t="s">
        <v>43</v>
      </c>
      <c r="S218" s="32">
        <v>1890.0</v>
      </c>
      <c r="T218" s="25"/>
      <c r="U218" s="25" t="s">
        <v>1117</v>
      </c>
      <c r="V218" s="25" t="s">
        <v>1118</v>
      </c>
      <c r="W218" s="29"/>
      <c r="X218" s="25" t="s">
        <v>1023</v>
      </c>
      <c r="Y218" s="25" t="s">
        <v>48</v>
      </c>
      <c r="Z218" s="25" t="s">
        <v>49</v>
      </c>
      <c r="AA218" s="25" t="s">
        <v>72</v>
      </c>
      <c r="AB218" s="25" t="s">
        <v>1090</v>
      </c>
      <c r="AC218" s="29"/>
      <c r="AD218" s="29"/>
      <c r="AE218" s="25"/>
      <c r="AF218" s="25" t="s">
        <v>740</v>
      </c>
      <c r="AG218" s="29"/>
      <c r="AH218" s="10" t="s">
        <v>52</v>
      </c>
      <c r="AI218" s="10"/>
      <c r="AJ218" s="10"/>
      <c r="AK218" s="10"/>
    </row>
    <row r="219" hidden="1">
      <c r="A219" s="10">
        <v>218.0</v>
      </c>
      <c r="B219" s="31">
        <v>45257.0</v>
      </c>
      <c r="C219" s="25">
        <v>0.0</v>
      </c>
      <c r="D219" s="12">
        <f t="shared" si="6"/>
        <v>0</v>
      </c>
      <c r="E219" s="12" t="s">
        <v>37</v>
      </c>
      <c r="F219" s="29"/>
      <c r="G219" s="30"/>
      <c r="H219" s="21"/>
      <c r="I219" s="27">
        <v>25.0</v>
      </c>
      <c r="J219" s="28"/>
      <c r="K219" s="22">
        <v>45324.0</v>
      </c>
      <c r="L219" s="23" t="s">
        <v>555</v>
      </c>
      <c r="M219" s="25" t="s">
        <v>1119</v>
      </c>
      <c r="N219" s="25" t="s">
        <v>1120</v>
      </c>
      <c r="O219" s="25" t="s">
        <v>1080</v>
      </c>
      <c r="P219" s="29"/>
      <c r="Q219" s="25" t="s">
        <v>477</v>
      </c>
      <c r="R219" s="25" t="s">
        <v>559</v>
      </c>
      <c r="S219" s="32">
        <v>1107.0</v>
      </c>
      <c r="T219" s="25"/>
      <c r="U219" s="25" t="s">
        <v>1121</v>
      </c>
      <c r="V219" s="25" t="s">
        <v>1122</v>
      </c>
      <c r="W219" s="29"/>
      <c r="X219" s="25" t="s">
        <v>1023</v>
      </c>
      <c r="Y219" s="25" t="s">
        <v>48</v>
      </c>
      <c r="Z219" s="25" t="s">
        <v>102</v>
      </c>
      <c r="AA219" s="25" t="s">
        <v>72</v>
      </c>
      <c r="AB219" s="25" t="s">
        <v>1090</v>
      </c>
      <c r="AC219" s="29"/>
      <c r="AD219" s="29"/>
      <c r="AE219" s="29"/>
      <c r="AF219" s="29"/>
      <c r="AG219" s="29"/>
      <c r="AH219" s="10" t="s">
        <v>52</v>
      </c>
      <c r="AI219" s="10"/>
      <c r="AJ219" s="10"/>
      <c r="AK219" s="10"/>
    </row>
    <row r="220" hidden="1">
      <c r="A220" s="10">
        <v>219.0</v>
      </c>
      <c r="B220" s="58">
        <v>45272.0</v>
      </c>
      <c r="C220" s="25">
        <v>0.0</v>
      </c>
      <c r="D220" s="20">
        <f t="shared" si="6"/>
        <v>0</v>
      </c>
      <c r="E220" s="12" t="s">
        <v>37</v>
      </c>
      <c r="F220" s="29"/>
      <c r="G220" s="30"/>
      <c r="H220" s="39"/>
      <c r="I220" s="27">
        <v>2.0</v>
      </c>
      <c r="J220" s="28"/>
      <c r="K220" s="22">
        <v>45325.0</v>
      </c>
      <c r="L220" s="23" t="s">
        <v>145</v>
      </c>
      <c r="M220" s="25" t="s">
        <v>1123</v>
      </c>
      <c r="N220" s="25" t="s">
        <v>1124</v>
      </c>
      <c r="O220" s="25" t="s">
        <v>1125</v>
      </c>
      <c r="P220" s="25">
        <v>15129.0</v>
      </c>
      <c r="Q220" s="25" t="s">
        <v>148</v>
      </c>
      <c r="R220" s="25" t="s">
        <v>149</v>
      </c>
      <c r="S220" s="32">
        <v>455.0</v>
      </c>
      <c r="T220" s="25"/>
      <c r="U220" s="25" t="s">
        <v>1126</v>
      </c>
      <c r="V220" s="25" t="s">
        <v>1127</v>
      </c>
      <c r="W220" s="29"/>
      <c r="X220" s="25" t="s">
        <v>47</v>
      </c>
      <c r="Y220" s="25" t="s">
        <v>48</v>
      </c>
      <c r="Z220" s="25" t="s">
        <v>49</v>
      </c>
      <c r="AA220" s="25" t="s">
        <v>970</v>
      </c>
      <c r="AB220" s="25" t="s">
        <v>687</v>
      </c>
      <c r="AC220" s="29"/>
      <c r="AD220" s="29"/>
      <c r="AE220" s="29"/>
      <c r="AF220" s="29"/>
      <c r="AG220" s="29"/>
      <c r="AH220" s="10" t="s">
        <v>52</v>
      </c>
      <c r="AI220" s="10"/>
      <c r="AJ220" s="10"/>
      <c r="AK220" s="10"/>
    </row>
    <row r="221" hidden="1">
      <c r="A221" s="10">
        <v>220.0</v>
      </c>
      <c r="B221" s="31">
        <v>45272.0</v>
      </c>
      <c r="C221" s="25">
        <v>0.0</v>
      </c>
      <c r="D221" s="12">
        <f t="shared" si="6"/>
        <v>0</v>
      </c>
      <c r="E221" s="12" t="s">
        <v>37</v>
      </c>
      <c r="F221" s="29"/>
      <c r="G221" s="30"/>
      <c r="H221" s="39"/>
      <c r="I221" s="27">
        <v>1.0</v>
      </c>
      <c r="J221" s="28"/>
      <c r="K221" s="22">
        <v>45325.0</v>
      </c>
      <c r="L221" s="23" t="s">
        <v>145</v>
      </c>
      <c r="M221" s="25" t="s">
        <v>1128</v>
      </c>
      <c r="N221" s="25">
        <v>2311826.0</v>
      </c>
      <c r="O221" s="25" t="s">
        <v>1125</v>
      </c>
      <c r="P221" s="25">
        <v>15674.0</v>
      </c>
      <c r="Q221" s="25" t="s">
        <v>148</v>
      </c>
      <c r="R221" s="25" t="s">
        <v>149</v>
      </c>
      <c r="S221" s="32">
        <v>670.0</v>
      </c>
      <c r="T221" s="25"/>
      <c r="U221" s="25" t="s">
        <v>1129</v>
      </c>
      <c r="V221" s="25" t="s">
        <v>1130</v>
      </c>
      <c r="W221" s="29"/>
      <c r="X221" s="25" t="s">
        <v>47</v>
      </c>
      <c r="Y221" s="25" t="s">
        <v>48</v>
      </c>
      <c r="Z221" s="25" t="s">
        <v>49</v>
      </c>
      <c r="AA221" s="25" t="s">
        <v>970</v>
      </c>
      <c r="AB221" s="25" t="s">
        <v>1018</v>
      </c>
      <c r="AC221" s="29"/>
      <c r="AD221" s="29"/>
      <c r="AE221" s="29"/>
      <c r="AF221" s="29"/>
      <c r="AG221" s="29"/>
      <c r="AH221" s="10" t="s">
        <v>52</v>
      </c>
      <c r="AI221" s="10"/>
      <c r="AJ221" s="10"/>
      <c r="AK221" s="10"/>
    </row>
    <row r="222" hidden="1">
      <c r="A222" s="10">
        <v>221.0</v>
      </c>
      <c r="B222" s="58">
        <v>45273.0</v>
      </c>
      <c r="C222" s="25">
        <v>0.0</v>
      </c>
      <c r="D222" s="20">
        <f t="shared" si="6"/>
        <v>0</v>
      </c>
      <c r="E222" s="12" t="s">
        <v>37</v>
      </c>
      <c r="F222" s="29"/>
      <c r="G222" s="30"/>
      <c r="H222" s="39"/>
      <c r="I222" s="27">
        <v>3.0</v>
      </c>
      <c r="J222" s="28"/>
      <c r="K222" s="22">
        <v>45325.0</v>
      </c>
      <c r="L222" s="23" t="s">
        <v>503</v>
      </c>
      <c r="M222" s="25" t="s">
        <v>1131</v>
      </c>
      <c r="N222" s="25" t="s">
        <v>1132</v>
      </c>
      <c r="O222" s="25" t="s">
        <v>1020</v>
      </c>
      <c r="P222" s="25">
        <v>15125.0</v>
      </c>
      <c r="Q222" s="25" t="s">
        <v>148</v>
      </c>
      <c r="R222" s="25" t="s">
        <v>149</v>
      </c>
      <c r="S222" s="35">
        <v>1150.0</v>
      </c>
      <c r="T222" s="25"/>
      <c r="U222" s="25" t="s">
        <v>1133</v>
      </c>
      <c r="V222" s="25" t="s">
        <v>1134</v>
      </c>
      <c r="W222" s="29"/>
      <c r="X222" s="25" t="s">
        <v>1023</v>
      </c>
      <c r="Y222" s="25" t="s">
        <v>48</v>
      </c>
      <c r="Z222" s="25" t="s">
        <v>524</v>
      </c>
      <c r="AA222" s="25" t="s">
        <v>72</v>
      </c>
      <c r="AB222" s="25" t="s">
        <v>165</v>
      </c>
      <c r="AC222" s="29"/>
      <c r="AD222" s="29"/>
      <c r="AE222" s="29"/>
      <c r="AF222" s="29"/>
      <c r="AG222" s="29"/>
      <c r="AH222" s="10" t="s">
        <v>52</v>
      </c>
      <c r="AI222" s="10"/>
      <c r="AJ222" s="10"/>
      <c r="AK222" s="10"/>
    </row>
    <row r="223" hidden="1">
      <c r="A223" s="10">
        <v>222.0</v>
      </c>
      <c r="B223" s="31">
        <v>45269.0</v>
      </c>
      <c r="C223" s="25">
        <v>0.0</v>
      </c>
      <c r="D223" s="12">
        <f t="shared" si="6"/>
        <v>0</v>
      </c>
      <c r="E223" s="12" t="s">
        <v>37</v>
      </c>
      <c r="F223" s="29"/>
      <c r="G223" s="30"/>
      <c r="H223" s="21"/>
      <c r="I223" s="27">
        <v>20.0</v>
      </c>
      <c r="J223" s="28"/>
      <c r="K223" s="22">
        <v>45329.0</v>
      </c>
      <c r="L223" s="19" t="s">
        <v>38</v>
      </c>
      <c r="M223" s="25" t="s">
        <v>1135</v>
      </c>
      <c r="N223" s="25" t="s">
        <v>1136</v>
      </c>
      <c r="O223" s="25" t="s">
        <v>1137</v>
      </c>
      <c r="P223" s="25">
        <v>9920.0</v>
      </c>
      <c r="Q223" s="12" t="s">
        <v>67</v>
      </c>
      <c r="R223" s="31" t="s">
        <v>775</v>
      </c>
      <c r="S223" s="32">
        <v>1940.0</v>
      </c>
      <c r="T223" s="25"/>
      <c r="U223" s="25" t="s">
        <v>1138</v>
      </c>
      <c r="V223" s="25" t="s">
        <v>1139</v>
      </c>
      <c r="W223" s="29"/>
      <c r="X223" s="25" t="s">
        <v>47</v>
      </c>
      <c r="Y223" s="25" t="s">
        <v>120</v>
      </c>
      <c r="Z223" s="25" t="s">
        <v>49</v>
      </c>
      <c r="AA223" s="25" t="s">
        <v>72</v>
      </c>
      <c r="AB223" s="25" t="s">
        <v>1090</v>
      </c>
      <c r="AC223" s="29"/>
      <c r="AD223" s="29"/>
      <c r="AE223" s="25"/>
      <c r="AF223" s="25" t="s">
        <v>740</v>
      </c>
      <c r="AG223" s="29"/>
      <c r="AH223" s="10" t="s">
        <v>52</v>
      </c>
      <c r="AI223" s="10"/>
      <c r="AJ223" s="10"/>
      <c r="AK223" s="10"/>
    </row>
    <row r="224" hidden="1">
      <c r="A224" s="10">
        <v>223.0</v>
      </c>
      <c r="B224" s="31">
        <v>45269.0</v>
      </c>
      <c r="C224" s="25">
        <v>0.0</v>
      </c>
      <c r="D224" s="12">
        <f t="shared" si="6"/>
        <v>0</v>
      </c>
      <c r="E224" s="12" t="s">
        <v>37</v>
      </c>
      <c r="F224" s="29"/>
      <c r="G224" s="30"/>
      <c r="H224" s="21"/>
      <c r="I224" s="27">
        <v>18.0</v>
      </c>
      <c r="J224" s="28"/>
      <c r="K224" s="22">
        <v>45330.0</v>
      </c>
      <c r="L224" s="19" t="s">
        <v>38</v>
      </c>
      <c r="M224" s="25" t="s">
        <v>1135</v>
      </c>
      <c r="N224" s="25" t="s">
        <v>1140</v>
      </c>
      <c r="O224" s="25" t="s">
        <v>1137</v>
      </c>
      <c r="P224" s="25">
        <v>9916.0</v>
      </c>
      <c r="Q224" s="12" t="s">
        <v>67</v>
      </c>
      <c r="R224" s="31" t="s">
        <v>775</v>
      </c>
      <c r="S224" s="32">
        <v>1940.0</v>
      </c>
      <c r="T224" s="25"/>
      <c r="U224" s="25" t="s">
        <v>1141</v>
      </c>
      <c r="V224" s="25" t="s">
        <v>1142</v>
      </c>
      <c r="W224" s="29"/>
      <c r="X224" s="25" t="s">
        <v>47</v>
      </c>
      <c r="Y224" s="25" t="s">
        <v>120</v>
      </c>
      <c r="Z224" s="25" t="s">
        <v>49</v>
      </c>
      <c r="AA224" s="25" t="s">
        <v>72</v>
      </c>
      <c r="AB224" s="25" t="s">
        <v>1090</v>
      </c>
      <c r="AC224" s="29"/>
      <c r="AD224" s="29"/>
      <c r="AE224" s="25"/>
      <c r="AF224" s="25" t="s">
        <v>740</v>
      </c>
      <c r="AG224" s="29"/>
      <c r="AH224" s="10" t="s">
        <v>52</v>
      </c>
      <c r="AI224" s="10"/>
      <c r="AJ224" s="10"/>
      <c r="AK224" s="10"/>
    </row>
    <row r="225" hidden="1">
      <c r="A225" s="10">
        <v>224.0</v>
      </c>
      <c r="B225" s="31">
        <v>45283.0</v>
      </c>
      <c r="C225" s="25">
        <v>0.0</v>
      </c>
      <c r="D225" s="12">
        <f t="shared" si="6"/>
        <v>0</v>
      </c>
      <c r="E225" s="12" t="s">
        <v>37</v>
      </c>
      <c r="F225" s="29"/>
      <c r="G225" s="30"/>
      <c r="H225" s="21"/>
      <c r="I225" s="27">
        <v>1.0</v>
      </c>
      <c r="J225" s="28"/>
      <c r="K225" s="22">
        <v>45335.0</v>
      </c>
      <c r="L225" s="23" t="s">
        <v>86</v>
      </c>
      <c r="M225" s="59"/>
      <c r="N225" s="25">
        <v>900007.0</v>
      </c>
      <c r="O225" s="25" t="s">
        <v>1104</v>
      </c>
      <c r="P225" s="25">
        <v>13657.0</v>
      </c>
      <c r="Q225" s="12" t="s">
        <v>42</v>
      </c>
      <c r="R225" s="25" t="s">
        <v>334</v>
      </c>
      <c r="S225" s="32">
        <v>1350.0</v>
      </c>
      <c r="T225" s="25"/>
      <c r="U225" s="25" t="s">
        <v>1143</v>
      </c>
      <c r="V225" s="25" t="s">
        <v>1144</v>
      </c>
      <c r="W225" s="29"/>
      <c r="X225" s="25" t="s">
        <v>1023</v>
      </c>
      <c r="Y225" s="25" t="s">
        <v>120</v>
      </c>
      <c r="Z225" s="25" t="s">
        <v>49</v>
      </c>
      <c r="AA225" s="25" t="s">
        <v>581</v>
      </c>
      <c r="AB225" s="25" t="s">
        <v>1018</v>
      </c>
      <c r="AC225" s="29"/>
      <c r="AD225" s="29"/>
      <c r="AE225" s="29"/>
      <c r="AF225" s="29"/>
      <c r="AG225" s="29"/>
      <c r="AH225" s="10" t="s">
        <v>52</v>
      </c>
      <c r="AI225" s="10"/>
      <c r="AJ225" s="10"/>
      <c r="AK225" s="10"/>
    </row>
    <row r="226" hidden="1">
      <c r="A226" s="10">
        <v>225.0</v>
      </c>
      <c r="B226" s="31">
        <v>45311.0</v>
      </c>
      <c r="C226" s="25">
        <v>0.0</v>
      </c>
      <c r="D226" s="12">
        <f t="shared" si="6"/>
        <v>0</v>
      </c>
      <c r="E226" s="12" t="s">
        <v>37</v>
      </c>
      <c r="F226" s="29"/>
      <c r="G226" s="30"/>
      <c r="H226" s="60"/>
      <c r="I226" s="27">
        <v>1.0</v>
      </c>
      <c r="J226" s="28"/>
      <c r="K226" s="56">
        <v>45353.0</v>
      </c>
      <c r="L226" s="23" t="s">
        <v>168</v>
      </c>
      <c r="M226" s="25" t="s">
        <v>1145</v>
      </c>
      <c r="N226" s="25">
        <v>5240123.0</v>
      </c>
      <c r="O226" s="25" t="s">
        <v>1146</v>
      </c>
      <c r="P226" s="25">
        <v>39905.0</v>
      </c>
      <c r="Q226" s="25" t="s">
        <v>171</v>
      </c>
      <c r="R226" s="25" t="s">
        <v>172</v>
      </c>
      <c r="S226" s="32">
        <v>2875.0</v>
      </c>
      <c r="T226" s="25"/>
      <c r="U226" s="25" t="s">
        <v>1147</v>
      </c>
      <c r="V226" s="25" t="s">
        <v>1148</v>
      </c>
      <c r="W226" s="29"/>
      <c r="X226" s="25" t="s">
        <v>47</v>
      </c>
      <c r="Y226" s="25" t="s">
        <v>48</v>
      </c>
      <c r="Z226" s="25" t="s">
        <v>102</v>
      </c>
      <c r="AA226" s="25" t="s">
        <v>72</v>
      </c>
      <c r="AB226" s="25" t="s">
        <v>1149</v>
      </c>
      <c r="AC226" s="29"/>
      <c r="AD226" s="29"/>
      <c r="AE226" s="29"/>
      <c r="AF226" s="29"/>
      <c r="AG226" s="29"/>
      <c r="AH226" s="10" t="s">
        <v>52</v>
      </c>
      <c r="AI226" s="10"/>
      <c r="AJ226" s="10"/>
      <c r="AK226" s="10"/>
    </row>
    <row r="227" hidden="1">
      <c r="A227" s="10">
        <v>226.0</v>
      </c>
      <c r="B227" s="31">
        <v>45315.0</v>
      </c>
      <c r="C227" s="25">
        <v>0.0</v>
      </c>
      <c r="D227" s="12">
        <f t="shared" si="6"/>
        <v>0</v>
      </c>
      <c r="E227" s="12" t="s">
        <v>37</v>
      </c>
      <c r="F227" s="29"/>
      <c r="G227" s="30"/>
      <c r="H227" s="39"/>
      <c r="I227" s="27">
        <v>12.0</v>
      </c>
      <c r="J227" s="28"/>
      <c r="K227" s="61">
        <v>45353.0</v>
      </c>
      <c r="L227" s="23" t="s">
        <v>250</v>
      </c>
      <c r="M227" s="25" t="s">
        <v>1150</v>
      </c>
      <c r="N227" s="25" t="s">
        <v>1151</v>
      </c>
      <c r="O227" s="25" t="s">
        <v>1152</v>
      </c>
      <c r="P227" s="25">
        <v>39995.0</v>
      </c>
      <c r="Q227" s="25" t="s">
        <v>370</v>
      </c>
      <c r="R227" s="25" t="s">
        <v>603</v>
      </c>
      <c r="S227" s="62">
        <v>3750.0</v>
      </c>
      <c r="T227" s="25"/>
      <c r="U227" s="25" t="s">
        <v>1153</v>
      </c>
      <c r="V227" s="25" t="s">
        <v>1154</v>
      </c>
      <c r="W227" s="29"/>
      <c r="X227" s="25" t="s">
        <v>1023</v>
      </c>
      <c r="Y227" s="25" t="s">
        <v>48</v>
      </c>
      <c r="Z227" s="25" t="s">
        <v>102</v>
      </c>
      <c r="AA227" s="25" t="s">
        <v>72</v>
      </c>
      <c r="AB227" s="25" t="s">
        <v>987</v>
      </c>
      <c r="AC227" s="29"/>
      <c r="AD227" s="29"/>
      <c r="AE227" s="25"/>
      <c r="AF227" s="25"/>
      <c r="AG227" s="29"/>
      <c r="AH227" s="10" t="s">
        <v>52</v>
      </c>
      <c r="AI227" s="10"/>
      <c r="AJ227" s="10"/>
      <c r="AK227" s="10"/>
    </row>
    <row r="228" hidden="1">
      <c r="A228" s="10">
        <v>227.0</v>
      </c>
      <c r="B228" s="31">
        <v>45295.0</v>
      </c>
      <c r="C228" s="25">
        <v>0.0</v>
      </c>
      <c r="D228" s="12">
        <f t="shared" si="6"/>
        <v>0</v>
      </c>
      <c r="E228" s="12" t="s">
        <v>37</v>
      </c>
      <c r="F228" s="29"/>
      <c r="G228" s="30"/>
      <c r="H228" s="21"/>
      <c r="I228" s="27">
        <v>6.0</v>
      </c>
      <c r="J228" s="28"/>
      <c r="K228" s="22">
        <v>45362.0</v>
      </c>
      <c r="L228" s="23" t="s">
        <v>250</v>
      </c>
      <c r="M228" s="25" t="s">
        <v>1155</v>
      </c>
      <c r="N228" s="25" t="s">
        <v>1156</v>
      </c>
      <c r="O228" s="25" t="s">
        <v>1157</v>
      </c>
      <c r="P228" s="25">
        <v>47366.0</v>
      </c>
      <c r="Q228" s="25" t="s">
        <v>370</v>
      </c>
      <c r="R228" s="25" t="s">
        <v>603</v>
      </c>
      <c r="S228" s="62">
        <v>1700.0</v>
      </c>
      <c r="T228" s="25"/>
      <c r="U228" s="25" t="s">
        <v>1158</v>
      </c>
      <c r="V228" s="25" t="s">
        <v>1159</v>
      </c>
      <c r="W228" s="29"/>
      <c r="X228" s="25" t="s">
        <v>1023</v>
      </c>
      <c r="Y228" s="25" t="s">
        <v>48</v>
      </c>
      <c r="Z228" s="25" t="s">
        <v>102</v>
      </c>
      <c r="AA228" s="25" t="s">
        <v>72</v>
      </c>
      <c r="AB228" s="25" t="s">
        <v>987</v>
      </c>
      <c r="AC228" s="29"/>
      <c r="AD228" s="29"/>
      <c r="AE228" s="25"/>
      <c r="AF228" s="25"/>
      <c r="AG228" s="29"/>
      <c r="AH228" s="10" t="s">
        <v>52</v>
      </c>
      <c r="AI228" s="10"/>
      <c r="AJ228" s="10"/>
      <c r="AK228" s="10"/>
    </row>
    <row r="229" hidden="1">
      <c r="A229" s="10">
        <v>228.0</v>
      </c>
      <c r="B229" s="31">
        <v>45339.0</v>
      </c>
      <c r="C229" s="25">
        <v>0.0</v>
      </c>
      <c r="D229" s="12">
        <f t="shared" si="6"/>
        <v>0</v>
      </c>
      <c r="E229" s="12" t="s">
        <v>37</v>
      </c>
      <c r="F229" s="29"/>
      <c r="G229" s="30"/>
      <c r="H229" s="21"/>
      <c r="I229" s="27">
        <v>3.0</v>
      </c>
      <c r="J229" s="28"/>
      <c r="K229" s="22">
        <v>45362.0</v>
      </c>
      <c r="L229" s="47" t="s">
        <v>727</v>
      </c>
      <c r="M229" s="25" t="s">
        <v>1160</v>
      </c>
      <c r="N229" s="25" t="s">
        <v>1161</v>
      </c>
      <c r="O229" s="25" t="s">
        <v>1162</v>
      </c>
      <c r="P229" s="29"/>
      <c r="Q229" s="25" t="s">
        <v>477</v>
      </c>
      <c r="R229" s="31" t="s">
        <v>559</v>
      </c>
      <c r="S229" s="25">
        <v>2700.0</v>
      </c>
      <c r="T229" s="25"/>
      <c r="U229" s="25" t="s">
        <v>1163</v>
      </c>
      <c r="V229" s="25" t="s">
        <v>1164</v>
      </c>
      <c r="W229" s="29"/>
      <c r="X229" s="25" t="s">
        <v>1023</v>
      </c>
      <c r="Y229" s="25" t="s">
        <v>120</v>
      </c>
      <c r="Z229" s="25" t="s">
        <v>102</v>
      </c>
      <c r="AA229" s="25" t="s">
        <v>72</v>
      </c>
      <c r="AB229" s="25" t="s">
        <v>1149</v>
      </c>
      <c r="AC229" s="29"/>
      <c r="AD229" s="29"/>
      <c r="AE229" s="29"/>
      <c r="AF229" s="29"/>
      <c r="AG229" s="29"/>
      <c r="AH229" s="10" t="s">
        <v>52</v>
      </c>
      <c r="AI229" s="10"/>
      <c r="AJ229" s="10"/>
      <c r="AK229" s="10"/>
    </row>
    <row r="230" hidden="1">
      <c r="A230" s="10">
        <v>229.0</v>
      </c>
      <c r="B230" s="31">
        <v>45297.0</v>
      </c>
      <c r="C230" s="25">
        <v>0.0</v>
      </c>
      <c r="D230" s="12">
        <f t="shared" si="6"/>
        <v>0</v>
      </c>
      <c r="E230" s="12" t="s">
        <v>37</v>
      </c>
      <c r="F230" s="29"/>
      <c r="G230" s="30"/>
      <c r="H230" s="45" t="s">
        <v>1165</v>
      </c>
      <c r="I230" s="27">
        <v>7.0</v>
      </c>
      <c r="J230" s="28"/>
      <c r="K230" s="61">
        <v>45377.0</v>
      </c>
      <c r="L230" s="19" t="s">
        <v>270</v>
      </c>
      <c r="M230" s="25" t="s">
        <v>1166</v>
      </c>
      <c r="N230" s="25" t="s">
        <v>1167</v>
      </c>
      <c r="O230" s="25" t="s">
        <v>1168</v>
      </c>
      <c r="P230" s="29"/>
      <c r="Q230" s="12" t="s">
        <v>274</v>
      </c>
      <c r="R230" s="25" t="s">
        <v>275</v>
      </c>
      <c r="S230" s="32">
        <v>3080.0</v>
      </c>
      <c r="T230" s="25"/>
      <c r="U230" s="25" t="s">
        <v>1169</v>
      </c>
      <c r="V230" s="25" t="s">
        <v>1170</v>
      </c>
      <c r="W230" s="29"/>
      <c r="X230" s="25" t="s">
        <v>1023</v>
      </c>
      <c r="Y230" s="25" t="s">
        <v>48</v>
      </c>
      <c r="Z230" s="25" t="s">
        <v>102</v>
      </c>
      <c r="AA230" s="25" t="s">
        <v>970</v>
      </c>
      <c r="AB230" s="25" t="s">
        <v>987</v>
      </c>
      <c r="AC230" s="29"/>
      <c r="AD230" s="29"/>
      <c r="AE230" s="29"/>
      <c r="AF230" s="29"/>
      <c r="AG230" s="29"/>
      <c r="AH230" s="10" t="s">
        <v>52</v>
      </c>
      <c r="AI230" s="10"/>
      <c r="AJ230" s="10"/>
      <c r="AK230" s="10"/>
    </row>
    <row r="231" hidden="1">
      <c r="A231" s="10">
        <v>230.0</v>
      </c>
      <c r="B231" s="31">
        <v>45345.0</v>
      </c>
      <c r="C231" s="25">
        <v>0.0</v>
      </c>
      <c r="D231" s="12">
        <f t="shared" si="6"/>
        <v>0</v>
      </c>
      <c r="E231" s="12" t="s">
        <v>37</v>
      </c>
      <c r="F231" s="29"/>
      <c r="G231" s="30"/>
      <c r="H231" s="21"/>
      <c r="I231" s="27">
        <v>1.0</v>
      </c>
      <c r="J231" s="28"/>
      <c r="K231" s="22">
        <v>45377.0</v>
      </c>
      <c r="L231" s="23" t="s">
        <v>555</v>
      </c>
      <c r="M231" s="25" t="s">
        <v>1171</v>
      </c>
      <c r="N231" s="25">
        <v>2.300000065E9</v>
      </c>
      <c r="O231" s="25" t="s">
        <v>1080</v>
      </c>
      <c r="P231" s="25">
        <v>56524.0</v>
      </c>
      <c r="Q231" s="12" t="s">
        <v>80</v>
      </c>
      <c r="R231" s="25" t="s">
        <v>755</v>
      </c>
      <c r="S231" s="32">
        <v>2100.0</v>
      </c>
      <c r="T231" s="25"/>
      <c r="U231" s="25" t="s">
        <v>1172</v>
      </c>
      <c r="V231" s="25" t="s">
        <v>1173</v>
      </c>
      <c r="W231" s="29"/>
      <c r="X231" s="25" t="s">
        <v>1023</v>
      </c>
      <c r="Y231" s="25" t="s">
        <v>48</v>
      </c>
      <c r="Z231" s="25" t="s">
        <v>49</v>
      </c>
      <c r="AA231" s="25" t="s">
        <v>72</v>
      </c>
      <c r="AB231" s="25" t="s">
        <v>1149</v>
      </c>
      <c r="AC231" s="29"/>
      <c r="AD231" s="29"/>
      <c r="AE231" s="29"/>
      <c r="AF231" s="29"/>
      <c r="AG231" s="29"/>
      <c r="AH231" s="10" t="s">
        <v>52</v>
      </c>
      <c r="AI231" s="10"/>
      <c r="AJ231" s="10"/>
      <c r="AK231" s="10"/>
    </row>
    <row r="232" hidden="1">
      <c r="A232" s="10">
        <v>231.0</v>
      </c>
      <c r="B232" s="31">
        <v>45275.0</v>
      </c>
      <c r="C232" s="25">
        <v>0.0</v>
      </c>
      <c r="D232" s="12">
        <f t="shared" si="6"/>
        <v>0</v>
      </c>
      <c r="E232" s="12" t="s">
        <v>37</v>
      </c>
      <c r="F232" s="29"/>
      <c r="G232" s="30"/>
      <c r="H232" s="45" t="s">
        <v>1165</v>
      </c>
      <c r="I232" s="27">
        <v>2.0</v>
      </c>
      <c r="J232" s="28"/>
      <c r="K232" s="22">
        <v>45378.0</v>
      </c>
      <c r="L232" s="23" t="s">
        <v>157</v>
      </c>
      <c r="M232" s="29"/>
      <c r="N232" s="25" t="s">
        <v>1174</v>
      </c>
      <c r="O232" s="29"/>
      <c r="P232" s="25">
        <v>31259.0</v>
      </c>
      <c r="Q232" s="25" t="s">
        <v>160</v>
      </c>
      <c r="R232" s="25" t="s">
        <v>161</v>
      </c>
      <c r="S232" s="29"/>
      <c r="T232" s="25"/>
      <c r="U232" s="25" t="s">
        <v>1175</v>
      </c>
      <c r="V232" s="29"/>
      <c r="W232" s="29"/>
      <c r="X232" s="25" t="s">
        <v>1023</v>
      </c>
      <c r="Y232" s="25" t="s">
        <v>48</v>
      </c>
      <c r="Z232" s="25" t="s">
        <v>49</v>
      </c>
      <c r="AA232" s="25" t="s">
        <v>72</v>
      </c>
      <c r="AB232" s="25" t="s">
        <v>165</v>
      </c>
      <c r="AC232" s="29"/>
      <c r="AD232" s="29"/>
      <c r="AE232" s="29"/>
      <c r="AF232" s="29"/>
      <c r="AG232" s="29"/>
      <c r="AH232" s="10" t="s">
        <v>52</v>
      </c>
      <c r="AI232" s="10"/>
      <c r="AJ232" s="10"/>
      <c r="AK232" s="10"/>
    </row>
    <row r="233" hidden="1">
      <c r="A233" s="10">
        <v>232.0</v>
      </c>
      <c r="B233" s="31">
        <v>45342.0</v>
      </c>
      <c r="C233" s="25">
        <v>0.0</v>
      </c>
      <c r="D233" s="12">
        <f t="shared" si="6"/>
        <v>0</v>
      </c>
      <c r="E233" s="42" t="s">
        <v>1176</v>
      </c>
      <c r="F233" s="29"/>
      <c r="G233" s="30"/>
      <c r="H233" s="45" t="s">
        <v>1177</v>
      </c>
      <c r="I233" s="27">
        <v>3.0</v>
      </c>
      <c r="J233" s="28"/>
      <c r="K233" s="22">
        <v>45378.0</v>
      </c>
      <c r="L233" s="23" t="s">
        <v>250</v>
      </c>
      <c r="M233" s="25" t="s">
        <v>1178</v>
      </c>
      <c r="N233" s="25" t="s">
        <v>1179</v>
      </c>
      <c r="O233" s="25" t="s">
        <v>1180</v>
      </c>
      <c r="P233" s="29"/>
      <c r="Q233" s="25" t="s">
        <v>148</v>
      </c>
      <c r="R233" s="25" t="s">
        <v>254</v>
      </c>
      <c r="S233" s="32" t="s">
        <v>1181</v>
      </c>
      <c r="T233" s="25"/>
      <c r="U233" s="25" t="s">
        <v>1182</v>
      </c>
      <c r="V233" s="29"/>
      <c r="W233" s="29"/>
      <c r="X233" s="25" t="s">
        <v>1023</v>
      </c>
      <c r="Y233" s="25" t="s">
        <v>392</v>
      </c>
      <c r="Z233" s="25" t="s">
        <v>102</v>
      </c>
      <c r="AA233" s="25" t="s">
        <v>970</v>
      </c>
      <c r="AB233" s="25" t="s">
        <v>1183</v>
      </c>
      <c r="AC233" s="29"/>
      <c r="AD233" s="29"/>
      <c r="AE233" s="25"/>
      <c r="AF233" s="25"/>
      <c r="AG233" s="29"/>
      <c r="AH233" s="10" t="s">
        <v>52</v>
      </c>
      <c r="AI233" s="10"/>
      <c r="AJ233" s="10"/>
      <c r="AK233" s="10"/>
    </row>
    <row r="234" hidden="1">
      <c r="A234" s="10">
        <v>233.0</v>
      </c>
      <c r="B234" s="31">
        <v>45331.0</v>
      </c>
      <c r="C234" s="25">
        <v>0.0</v>
      </c>
      <c r="D234" s="12">
        <f t="shared" si="6"/>
        <v>0</v>
      </c>
      <c r="E234" s="12" t="s">
        <v>37</v>
      </c>
      <c r="F234" s="29"/>
      <c r="G234" s="30"/>
      <c r="H234" s="55"/>
      <c r="I234" s="27">
        <v>2.0</v>
      </c>
      <c r="J234" s="28"/>
      <c r="K234" s="63">
        <v>45383.0</v>
      </c>
      <c r="L234" s="23" t="s">
        <v>180</v>
      </c>
      <c r="M234" s="25" t="s">
        <v>815</v>
      </c>
      <c r="N234" s="25" t="s">
        <v>1184</v>
      </c>
      <c r="O234" s="25" t="s">
        <v>704</v>
      </c>
      <c r="P234" s="25">
        <v>63465.0</v>
      </c>
      <c r="Q234" s="12" t="s">
        <v>80</v>
      </c>
      <c r="R234" s="12" t="s">
        <v>183</v>
      </c>
      <c r="S234" s="32">
        <v>2075.0</v>
      </c>
      <c r="T234" s="25"/>
      <c r="U234" s="25" t="s">
        <v>1185</v>
      </c>
      <c r="V234" s="29"/>
      <c r="W234" s="25" t="s">
        <v>1186</v>
      </c>
      <c r="X234" s="25" t="s">
        <v>47</v>
      </c>
      <c r="Y234" s="25" t="s">
        <v>48</v>
      </c>
      <c r="Z234" s="25" t="s">
        <v>102</v>
      </c>
      <c r="AA234" s="25" t="s">
        <v>72</v>
      </c>
      <c r="AB234" s="25" t="s">
        <v>1187</v>
      </c>
      <c r="AC234" s="29"/>
      <c r="AD234" s="29"/>
      <c r="AE234" s="29"/>
      <c r="AF234" s="29"/>
      <c r="AG234" s="29"/>
      <c r="AH234" s="10" t="s">
        <v>52</v>
      </c>
      <c r="AI234" s="10"/>
      <c r="AJ234" s="10"/>
      <c r="AK234" s="10"/>
    </row>
    <row r="235" hidden="1">
      <c r="A235" s="10">
        <v>234.0</v>
      </c>
      <c r="B235" s="31">
        <v>45319.0</v>
      </c>
      <c r="C235" s="25">
        <v>0.0</v>
      </c>
      <c r="D235" s="12">
        <f t="shared" si="6"/>
        <v>0</v>
      </c>
      <c r="E235" s="12" t="s">
        <v>37</v>
      </c>
      <c r="F235" s="29"/>
      <c r="G235" s="30"/>
      <c r="H235" s="55"/>
      <c r="I235" s="27">
        <v>1.0</v>
      </c>
      <c r="J235" s="28"/>
      <c r="K235" s="56">
        <v>45386.0</v>
      </c>
      <c r="L235" s="19" t="s">
        <v>38</v>
      </c>
      <c r="M235" s="25" t="s">
        <v>1188</v>
      </c>
      <c r="N235" s="25" t="s">
        <v>1189</v>
      </c>
      <c r="O235" s="25"/>
      <c r="P235" s="25">
        <v>30059.0</v>
      </c>
      <c r="Q235" s="12" t="s">
        <v>67</v>
      </c>
      <c r="R235" s="25" t="s">
        <v>111</v>
      </c>
      <c r="S235" s="32">
        <v>3100.0</v>
      </c>
      <c r="T235" s="25"/>
      <c r="U235" s="25" t="s">
        <v>1190</v>
      </c>
      <c r="V235" s="25" t="s">
        <v>1191</v>
      </c>
      <c r="W235" s="29"/>
      <c r="X235" s="25" t="s">
        <v>47</v>
      </c>
      <c r="Y235" s="25" t="s">
        <v>48</v>
      </c>
      <c r="Z235" s="25" t="s">
        <v>49</v>
      </c>
      <c r="AA235" s="25" t="s">
        <v>72</v>
      </c>
      <c r="AB235" s="25" t="s">
        <v>138</v>
      </c>
      <c r="AC235" s="29"/>
      <c r="AD235" s="29"/>
      <c r="AE235" s="29"/>
      <c r="AF235" s="29"/>
      <c r="AG235" s="29"/>
      <c r="AH235" s="10" t="s">
        <v>52</v>
      </c>
      <c r="AI235" s="10"/>
      <c r="AJ235" s="10"/>
      <c r="AK235" s="10"/>
    </row>
    <row r="236" hidden="1">
      <c r="A236" s="10">
        <v>235.0</v>
      </c>
      <c r="B236" s="31">
        <v>45341.0</v>
      </c>
      <c r="C236" s="25">
        <v>0.0</v>
      </c>
      <c r="D236" s="12">
        <f t="shared" si="6"/>
        <v>0</v>
      </c>
      <c r="E236" s="25" t="s">
        <v>1192</v>
      </c>
      <c r="F236" s="29"/>
      <c r="G236" s="30"/>
      <c r="H236" s="64" t="s">
        <v>1165</v>
      </c>
      <c r="I236" s="27">
        <v>11.0</v>
      </c>
      <c r="J236" s="28"/>
      <c r="K236" s="56">
        <v>45389.0</v>
      </c>
      <c r="L236" s="23" t="s">
        <v>250</v>
      </c>
      <c r="M236" s="25" t="s">
        <v>1193</v>
      </c>
      <c r="N236" s="25" t="s">
        <v>1194</v>
      </c>
      <c r="O236" s="25" t="s">
        <v>1195</v>
      </c>
      <c r="P236" s="25">
        <v>63709.0</v>
      </c>
      <c r="Q236" s="25" t="s">
        <v>1196</v>
      </c>
      <c r="R236" s="25" t="s">
        <v>603</v>
      </c>
      <c r="S236" s="32">
        <v>3000.0</v>
      </c>
      <c r="T236" s="25"/>
      <c r="U236" s="25" t="s">
        <v>1197</v>
      </c>
      <c r="V236" s="25" t="s">
        <v>1198</v>
      </c>
      <c r="W236" s="25"/>
      <c r="X236" s="25" t="s">
        <v>1023</v>
      </c>
      <c r="Y236" s="25" t="s">
        <v>48</v>
      </c>
      <c r="Z236" s="25" t="s">
        <v>102</v>
      </c>
      <c r="AA236" s="25" t="s">
        <v>72</v>
      </c>
      <c r="AB236" s="25" t="s">
        <v>719</v>
      </c>
      <c r="AC236" s="29"/>
      <c r="AD236" s="29"/>
      <c r="AE236" s="25"/>
      <c r="AF236" s="25"/>
      <c r="AG236" s="29"/>
      <c r="AH236" s="10" t="s">
        <v>52</v>
      </c>
      <c r="AI236" s="10"/>
      <c r="AJ236" s="10"/>
      <c r="AK236" s="10"/>
    </row>
    <row r="237" hidden="1">
      <c r="A237" s="10">
        <v>236.0</v>
      </c>
      <c r="B237" s="31">
        <v>45339.0</v>
      </c>
      <c r="C237" s="25">
        <v>0.0</v>
      </c>
      <c r="D237" s="12">
        <f t="shared" si="6"/>
        <v>0</v>
      </c>
      <c r="E237" s="25" t="s">
        <v>1192</v>
      </c>
      <c r="F237" s="29"/>
      <c r="G237" s="30"/>
      <c r="H237" s="45" t="s">
        <v>1165</v>
      </c>
      <c r="I237" s="27">
        <v>1.0</v>
      </c>
      <c r="J237" s="28"/>
      <c r="K237" s="22">
        <v>45397.0</v>
      </c>
      <c r="L237" s="23" t="s">
        <v>86</v>
      </c>
      <c r="M237" s="25" t="s">
        <v>1199</v>
      </c>
      <c r="N237" s="25">
        <v>900272.0</v>
      </c>
      <c r="O237" s="25" t="s">
        <v>1200</v>
      </c>
      <c r="P237" s="25">
        <v>34293.0</v>
      </c>
      <c r="Q237" s="12" t="s">
        <v>42</v>
      </c>
      <c r="R237" s="25" t="s">
        <v>334</v>
      </c>
      <c r="S237" s="32">
        <v>1950.0</v>
      </c>
      <c r="T237" s="25"/>
      <c r="U237" s="25" t="s">
        <v>1201</v>
      </c>
      <c r="V237" s="25" t="s">
        <v>1202</v>
      </c>
      <c r="W237" s="29"/>
      <c r="X237" s="25" t="s">
        <v>1023</v>
      </c>
      <c r="Y237" s="25" t="s">
        <v>48</v>
      </c>
      <c r="Z237" s="25" t="s">
        <v>49</v>
      </c>
      <c r="AA237" s="25" t="s">
        <v>72</v>
      </c>
      <c r="AB237" s="25" t="s">
        <v>1149</v>
      </c>
      <c r="AC237" s="29"/>
      <c r="AD237" s="29"/>
      <c r="AE237" s="29"/>
      <c r="AF237" s="29"/>
      <c r="AG237" s="29"/>
      <c r="AH237" s="10" t="s">
        <v>52</v>
      </c>
      <c r="AI237" s="10"/>
      <c r="AJ237" s="10"/>
      <c r="AK237" s="10"/>
    </row>
    <row r="238" hidden="1">
      <c r="A238" s="10">
        <v>237.0</v>
      </c>
      <c r="B238" s="31">
        <v>45339.0</v>
      </c>
      <c r="C238" s="25">
        <v>0.0</v>
      </c>
      <c r="D238" s="12">
        <f t="shared" si="6"/>
        <v>0</v>
      </c>
      <c r="E238" s="25" t="s">
        <v>1192</v>
      </c>
      <c r="F238" s="29"/>
      <c r="G238" s="30"/>
      <c r="H238" s="45" t="s">
        <v>1165</v>
      </c>
      <c r="I238" s="27">
        <v>1.0</v>
      </c>
      <c r="J238" s="28"/>
      <c r="K238" s="22">
        <v>45397.0</v>
      </c>
      <c r="L238" s="23" t="s">
        <v>86</v>
      </c>
      <c r="M238" s="25" t="s">
        <v>1203</v>
      </c>
      <c r="N238" s="25">
        <v>900274.0</v>
      </c>
      <c r="O238" s="25" t="s">
        <v>1200</v>
      </c>
      <c r="P238" s="25">
        <v>34291.0</v>
      </c>
      <c r="Q238" s="12" t="s">
        <v>42</v>
      </c>
      <c r="R238" s="25" t="s">
        <v>334</v>
      </c>
      <c r="S238" s="32">
        <v>1950.0</v>
      </c>
      <c r="T238" s="25"/>
      <c r="U238" s="25" t="s">
        <v>1204</v>
      </c>
      <c r="V238" s="25" t="s">
        <v>1205</v>
      </c>
      <c r="W238" s="29"/>
      <c r="X238" s="25" t="s">
        <v>1023</v>
      </c>
      <c r="Y238" s="25" t="s">
        <v>48</v>
      </c>
      <c r="Z238" s="25" t="s">
        <v>49</v>
      </c>
      <c r="AA238" s="25" t="s">
        <v>72</v>
      </c>
      <c r="AB238" s="25" t="s">
        <v>1149</v>
      </c>
      <c r="AC238" s="29"/>
      <c r="AD238" s="29"/>
      <c r="AE238" s="29"/>
      <c r="AF238" s="29"/>
      <c r="AG238" s="29"/>
      <c r="AH238" s="10" t="s">
        <v>52</v>
      </c>
      <c r="AI238" s="10"/>
      <c r="AJ238" s="10"/>
      <c r="AK238" s="10"/>
    </row>
    <row r="239" hidden="1">
      <c r="A239" s="10">
        <v>238.0</v>
      </c>
      <c r="B239" s="31">
        <v>45339.0</v>
      </c>
      <c r="C239" s="25">
        <v>0.0</v>
      </c>
      <c r="D239" s="12">
        <f t="shared" si="6"/>
        <v>0</v>
      </c>
      <c r="E239" s="25" t="s">
        <v>1192</v>
      </c>
      <c r="F239" s="29"/>
      <c r="G239" s="30"/>
      <c r="H239" s="45" t="s">
        <v>1165</v>
      </c>
      <c r="I239" s="27">
        <v>1.0</v>
      </c>
      <c r="J239" s="28"/>
      <c r="K239" s="22">
        <v>45397.0</v>
      </c>
      <c r="L239" s="23" t="s">
        <v>86</v>
      </c>
      <c r="M239" s="25" t="s">
        <v>1206</v>
      </c>
      <c r="N239" s="25">
        <v>900273.0</v>
      </c>
      <c r="O239" s="25" t="s">
        <v>1200</v>
      </c>
      <c r="P239" s="25">
        <v>34297.0</v>
      </c>
      <c r="Q239" s="12" t="s">
        <v>42</v>
      </c>
      <c r="R239" s="25" t="s">
        <v>334</v>
      </c>
      <c r="S239" s="32">
        <v>1950.0</v>
      </c>
      <c r="T239" s="25"/>
      <c r="U239" s="25" t="s">
        <v>1207</v>
      </c>
      <c r="V239" s="25" t="s">
        <v>1208</v>
      </c>
      <c r="W239" s="29"/>
      <c r="X239" s="25" t="s">
        <v>1023</v>
      </c>
      <c r="Y239" s="25" t="s">
        <v>48</v>
      </c>
      <c r="Z239" s="25" t="s">
        <v>49</v>
      </c>
      <c r="AA239" s="25" t="s">
        <v>72</v>
      </c>
      <c r="AB239" s="25" t="s">
        <v>1149</v>
      </c>
      <c r="AC239" s="29"/>
      <c r="AD239" s="29"/>
      <c r="AE239" s="29"/>
      <c r="AF239" s="29"/>
      <c r="AG239" s="29"/>
      <c r="AH239" s="10" t="s">
        <v>52</v>
      </c>
      <c r="AI239" s="10"/>
      <c r="AJ239" s="10"/>
      <c r="AK239" s="10"/>
    </row>
    <row r="240" hidden="1">
      <c r="A240" s="10">
        <v>239.0</v>
      </c>
      <c r="B240" s="31">
        <v>45339.0</v>
      </c>
      <c r="C240" s="25">
        <v>0.0</v>
      </c>
      <c r="D240" s="12">
        <f t="shared" si="6"/>
        <v>0</v>
      </c>
      <c r="E240" s="25" t="s">
        <v>1192</v>
      </c>
      <c r="F240" s="29"/>
      <c r="G240" s="30"/>
      <c r="H240" s="45" t="s">
        <v>1165</v>
      </c>
      <c r="I240" s="27">
        <v>1.0</v>
      </c>
      <c r="J240" s="28"/>
      <c r="K240" s="22">
        <v>45397.0</v>
      </c>
      <c r="L240" s="23" t="s">
        <v>86</v>
      </c>
      <c r="M240" s="25" t="s">
        <v>1209</v>
      </c>
      <c r="N240" s="25">
        <v>900271.0</v>
      </c>
      <c r="O240" s="25" t="s">
        <v>1200</v>
      </c>
      <c r="P240" s="25">
        <v>34288.0</v>
      </c>
      <c r="Q240" s="12" t="s">
        <v>42</v>
      </c>
      <c r="R240" s="25" t="s">
        <v>334</v>
      </c>
      <c r="S240" s="32">
        <v>1950.0</v>
      </c>
      <c r="T240" s="25"/>
      <c r="U240" s="25" t="s">
        <v>1210</v>
      </c>
      <c r="V240" s="25" t="s">
        <v>1211</v>
      </c>
      <c r="W240" s="29"/>
      <c r="X240" s="25" t="s">
        <v>1023</v>
      </c>
      <c r="Y240" s="25" t="s">
        <v>48</v>
      </c>
      <c r="Z240" s="25" t="s">
        <v>49</v>
      </c>
      <c r="AA240" s="25" t="s">
        <v>72</v>
      </c>
      <c r="AB240" s="25" t="s">
        <v>1149</v>
      </c>
      <c r="AC240" s="29"/>
      <c r="AD240" s="29"/>
      <c r="AE240" s="29"/>
      <c r="AF240" s="29"/>
      <c r="AG240" s="29"/>
      <c r="AH240" s="10" t="s">
        <v>52</v>
      </c>
      <c r="AI240" s="10"/>
      <c r="AJ240" s="10"/>
      <c r="AK240" s="10"/>
    </row>
    <row r="241" hidden="1">
      <c r="A241" s="10">
        <v>240.0</v>
      </c>
      <c r="B241" s="31">
        <v>45341.0</v>
      </c>
      <c r="C241" s="25">
        <v>0.0</v>
      </c>
      <c r="D241" s="12">
        <f t="shared" si="6"/>
        <v>0</v>
      </c>
      <c r="E241" s="25" t="s">
        <v>1192</v>
      </c>
      <c r="F241" s="29"/>
      <c r="G241" s="30"/>
      <c r="H241" s="45" t="s">
        <v>1165</v>
      </c>
      <c r="I241" s="27">
        <v>1.0</v>
      </c>
      <c r="J241" s="28"/>
      <c r="K241" s="22">
        <v>45397.0</v>
      </c>
      <c r="L241" s="19" t="s">
        <v>38</v>
      </c>
      <c r="M241" s="25" t="s">
        <v>1212</v>
      </c>
      <c r="N241" s="25" t="s">
        <v>1213</v>
      </c>
      <c r="O241" s="25" t="s">
        <v>1214</v>
      </c>
      <c r="P241" s="29"/>
      <c r="Q241" s="12" t="s">
        <v>42</v>
      </c>
      <c r="R241" s="12" t="s">
        <v>105</v>
      </c>
      <c r="S241" s="32">
        <v>2380.0</v>
      </c>
      <c r="T241" s="25"/>
      <c r="U241" s="25" t="s">
        <v>1215</v>
      </c>
      <c r="V241" s="25" t="s">
        <v>1216</v>
      </c>
      <c r="W241" s="29"/>
      <c r="X241" s="25" t="s">
        <v>1023</v>
      </c>
      <c r="Y241" s="25" t="s">
        <v>48</v>
      </c>
      <c r="Z241" s="25" t="s">
        <v>49</v>
      </c>
      <c r="AA241" s="25" t="s">
        <v>72</v>
      </c>
      <c r="AB241" s="25" t="s">
        <v>987</v>
      </c>
      <c r="AC241" s="29"/>
      <c r="AD241" s="29"/>
      <c r="AE241" s="25"/>
      <c r="AF241" s="25" t="s">
        <v>1102</v>
      </c>
      <c r="AG241" s="29"/>
      <c r="AH241" s="10" t="s">
        <v>52</v>
      </c>
      <c r="AI241" s="10"/>
      <c r="AJ241" s="10"/>
      <c r="AK241" s="10"/>
    </row>
    <row r="242" hidden="1">
      <c r="A242" s="10">
        <v>241.0</v>
      </c>
      <c r="B242" s="31">
        <v>45275.0</v>
      </c>
      <c r="C242" s="25">
        <v>0.0</v>
      </c>
      <c r="D242" s="12">
        <f t="shared" si="6"/>
        <v>0</v>
      </c>
      <c r="E242" s="12" t="s">
        <v>37</v>
      </c>
      <c r="F242" s="29"/>
      <c r="G242" s="30"/>
      <c r="H242" s="45" t="s">
        <v>1165</v>
      </c>
      <c r="I242" s="27">
        <v>2.0</v>
      </c>
      <c r="J242" s="28"/>
      <c r="K242" s="22">
        <v>45398.0</v>
      </c>
      <c r="L242" s="23" t="s">
        <v>157</v>
      </c>
      <c r="M242" s="29"/>
      <c r="N242" s="25" t="s">
        <v>1217</v>
      </c>
      <c r="O242" s="29"/>
      <c r="P242" s="25">
        <v>38039.0</v>
      </c>
      <c r="Q242" s="25" t="s">
        <v>160</v>
      </c>
      <c r="R242" s="25" t="s">
        <v>161</v>
      </c>
      <c r="S242" s="29"/>
      <c r="T242" s="25"/>
      <c r="U242" s="25" t="s">
        <v>1218</v>
      </c>
      <c r="V242" s="29"/>
      <c r="W242" s="29"/>
      <c r="X242" s="25" t="s">
        <v>1023</v>
      </c>
      <c r="Y242" s="25" t="s">
        <v>48</v>
      </c>
      <c r="Z242" s="25" t="s">
        <v>92</v>
      </c>
      <c r="AA242" s="25" t="s">
        <v>72</v>
      </c>
      <c r="AB242" s="25" t="s">
        <v>165</v>
      </c>
      <c r="AC242" s="29"/>
      <c r="AD242" s="29"/>
      <c r="AE242" s="29"/>
      <c r="AF242" s="29"/>
      <c r="AG242" s="29"/>
      <c r="AH242" s="10" t="s">
        <v>52</v>
      </c>
      <c r="AI242" s="10"/>
      <c r="AJ242" s="10"/>
      <c r="AK242" s="10"/>
    </row>
    <row r="243" hidden="1">
      <c r="A243" s="10">
        <v>242.0</v>
      </c>
      <c r="B243" s="31">
        <v>45339.0</v>
      </c>
      <c r="C243" s="25">
        <v>0.0</v>
      </c>
      <c r="D243" s="12">
        <f t="shared" si="6"/>
        <v>0</v>
      </c>
      <c r="E243" s="12" t="s">
        <v>37</v>
      </c>
      <c r="F243" s="29"/>
      <c r="G243" s="30"/>
      <c r="H243" s="64" t="s">
        <v>1165</v>
      </c>
      <c r="I243" s="27">
        <v>2.0</v>
      </c>
      <c r="J243" s="28"/>
      <c r="K243" s="56">
        <v>45398.0</v>
      </c>
      <c r="L243" s="23" t="s">
        <v>86</v>
      </c>
      <c r="M243" s="29"/>
      <c r="N243" s="25" t="s">
        <v>1219</v>
      </c>
      <c r="O243" s="25" t="s">
        <v>1220</v>
      </c>
      <c r="P243" s="29"/>
      <c r="Q243" s="12" t="s">
        <v>42</v>
      </c>
      <c r="R243" s="25" t="s">
        <v>334</v>
      </c>
      <c r="S243" s="25" t="s">
        <v>1221</v>
      </c>
      <c r="T243" s="25"/>
      <c r="U243" s="25" t="s">
        <v>1222</v>
      </c>
      <c r="V243" s="25" t="s">
        <v>1223</v>
      </c>
      <c r="W243" s="29"/>
      <c r="X243" s="25" t="s">
        <v>1023</v>
      </c>
      <c r="Y243" s="25" t="s">
        <v>48</v>
      </c>
      <c r="Z243" s="25" t="s">
        <v>49</v>
      </c>
      <c r="AA243" s="25" t="s">
        <v>72</v>
      </c>
      <c r="AB243" s="25" t="s">
        <v>1149</v>
      </c>
      <c r="AC243" s="29"/>
      <c r="AD243" s="29"/>
      <c r="AE243" s="29"/>
      <c r="AF243" s="29"/>
      <c r="AG243" s="29"/>
      <c r="AH243" s="10" t="s">
        <v>52</v>
      </c>
      <c r="AI243" s="10"/>
      <c r="AJ243" s="10"/>
      <c r="AK243" s="10"/>
    </row>
    <row r="244" hidden="1">
      <c r="A244" s="10">
        <v>243.0</v>
      </c>
      <c r="B244" s="31">
        <v>45360.0</v>
      </c>
      <c r="C244" s="25">
        <v>0.0</v>
      </c>
      <c r="D244" s="12">
        <f t="shared" si="6"/>
        <v>0</v>
      </c>
      <c r="E244" s="25" t="s">
        <v>1192</v>
      </c>
      <c r="F244" s="29"/>
      <c r="G244" s="30"/>
      <c r="H244" s="45" t="s">
        <v>1165</v>
      </c>
      <c r="I244" s="27">
        <v>3.0</v>
      </c>
      <c r="J244" s="28"/>
      <c r="K244" s="22">
        <v>45399.0</v>
      </c>
      <c r="L244" s="19" t="s">
        <v>270</v>
      </c>
      <c r="M244" s="25" t="s">
        <v>1224</v>
      </c>
      <c r="N244" s="25" t="s">
        <v>1225</v>
      </c>
      <c r="O244" s="25" t="s">
        <v>1226</v>
      </c>
      <c r="P244" s="25">
        <v>67338.0</v>
      </c>
      <c r="Q244" s="12" t="s">
        <v>274</v>
      </c>
      <c r="R244" s="25" t="s">
        <v>275</v>
      </c>
      <c r="S244" s="32">
        <v>3172.0</v>
      </c>
      <c r="T244" s="25"/>
      <c r="U244" s="25" t="s">
        <v>1227</v>
      </c>
      <c r="V244" s="25" t="s">
        <v>1228</v>
      </c>
      <c r="W244" s="29"/>
      <c r="X244" s="25" t="s">
        <v>1023</v>
      </c>
      <c r="Y244" s="25" t="s">
        <v>48</v>
      </c>
      <c r="Z244" s="25" t="s">
        <v>102</v>
      </c>
      <c r="AA244" s="25" t="s">
        <v>72</v>
      </c>
      <c r="AB244" s="25" t="s">
        <v>987</v>
      </c>
      <c r="AC244" s="29"/>
      <c r="AD244" s="29"/>
      <c r="AE244" s="29"/>
      <c r="AF244" s="29"/>
      <c r="AG244" s="29"/>
      <c r="AH244" s="10" t="s">
        <v>52</v>
      </c>
      <c r="AI244" s="10"/>
      <c r="AJ244" s="10"/>
      <c r="AK244" s="10"/>
    </row>
    <row r="245" hidden="1">
      <c r="A245" s="10">
        <v>244.0</v>
      </c>
      <c r="B245" s="40">
        <v>45362.0</v>
      </c>
      <c r="C245" s="25">
        <v>0.0</v>
      </c>
      <c r="D245" s="12">
        <f t="shared" si="6"/>
        <v>0</v>
      </c>
      <c r="E245" s="25" t="s">
        <v>1192</v>
      </c>
      <c r="F245" s="29"/>
      <c r="G245" s="30"/>
      <c r="H245" s="21" t="s">
        <v>1165</v>
      </c>
      <c r="I245" s="27">
        <v>2.0</v>
      </c>
      <c r="J245" s="28"/>
      <c r="K245" s="22">
        <v>45399.0</v>
      </c>
      <c r="L245" s="23" t="s">
        <v>1229</v>
      </c>
      <c r="M245" s="25" t="s">
        <v>1230</v>
      </c>
      <c r="N245" s="25" t="s">
        <v>1231</v>
      </c>
      <c r="O245" s="29" t="s">
        <v>1232</v>
      </c>
      <c r="P245" s="25">
        <v>73677.0</v>
      </c>
      <c r="Q245" s="12" t="s">
        <v>274</v>
      </c>
      <c r="R245" s="25" t="s">
        <v>149</v>
      </c>
      <c r="S245" s="25">
        <v>2500.0</v>
      </c>
      <c r="T245" s="25"/>
      <c r="U245" s="25" t="s">
        <v>1233</v>
      </c>
      <c r="V245" s="25"/>
      <c r="W245" s="29"/>
      <c r="X245" s="25" t="s">
        <v>1023</v>
      </c>
      <c r="Y245" s="25" t="s">
        <v>48</v>
      </c>
      <c r="Z245" s="25" t="s">
        <v>49</v>
      </c>
      <c r="AA245" s="25" t="s">
        <v>72</v>
      </c>
      <c r="AB245" s="25" t="s">
        <v>719</v>
      </c>
      <c r="AC245" s="29"/>
      <c r="AD245" s="29"/>
      <c r="AE245" s="29"/>
      <c r="AF245" s="29"/>
      <c r="AG245" s="29"/>
      <c r="AH245" s="10" t="s">
        <v>52</v>
      </c>
      <c r="AI245" s="10"/>
      <c r="AJ245" s="10"/>
      <c r="AK245" s="10"/>
    </row>
    <row r="246" hidden="1">
      <c r="A246" s="10">
        <v>245.0</v>
      </c>
      <c r="B246" s="31">
        <v>45368.0</v>
      </c>
      <c r="C246" s="25">
        <v>0.0</v>
      </c>
      <c r="D246" s="12">
        <f t="shared" si="6"/>
        <v>0</v>
      </c>
      <c r="E246" s="25" t="s">
        <v>1192</v>
      </c>
      <c r="F246" s="29"/>
      <c r="G246" s="30"/>
      <c r="H246" s="45" t="s">
        <v>1165</v>
      </c>
      <c r="I246" s="27">
        <v>4.0</v>
      </c>
      <c r="J246" s="28"/>
      <c r="K246" s="22">
        <v>45402.0</v>
      </c>
      <c r="L246" s="19" t="s">
        <v>270</v>
      </c>
      <c r="M246" s="25" t="s">
        <v>1234</v>
      </c>
      <c r="N246" s="25" t="s">
        <v>1235</v>
      </c>
      <c r="O246" s="25" t="s">
        <v>1226</v>
      </c>
      <c r="P246" s="25">
        <v>74595.0</v>
      </c>
      <c r="Q246" s="12" t="s">
        <v>274</v>
      </c>
      <c r="R246" s="25" t="s">
        <v>275</v>
      </c>
      <c r="S246" s="32">
        <v>4100.0</v>
      </c>
      <c r="T246" s="25"/>
      <c r="U246" s="25" t="s">
        <v>1236</v>
      </c>
      <c r="V246" s="25" t="s">
        <v>1237</v>
      </c>
      <c r="W246" s="29"/>
      <c r="X246" s="25" t="s">
        <v>1023</v>
      </c>
      <c r="Y246" s="25" t="s">
        <v>48</v>
      </c>
      <c r="Z246" s="25" t="s">
        <v>102</v>
      </c>
      <c r="AA246" s="25" t="s">
        <v>72</v>
      </c>
      <c r="AB246" s="25" t="s">
        <v>719</v>
      </c>
      <c r="AC246" s="29"/>
      <c r="AD246" s="29"/>
      <c r="AE246" s="29"/>
      <c r="AF246" s="29"/>
      <c r="AG246" s="29"/>
      <c r="AH246" s="10" t="s">
        <v>52</v>
      </c>
      <c r="AI246" s="10"/>
      <c r="AJ246" s="10"/>
      <c r="AK246" s="10"/>
    </row>
    <row r="247" hidden="1">
      <c r="A247" s="10">
        <v>246.0</v>
      </c>
      <c r="B247" s="31">
        <v>45369.0</v>
      </c>
      <c r="C247" s="25">
        <v>0.0</v>
      </c>
      <c r="D247" s="12">
        <f t="shared" si="6"/>
        <v>0</v>
      </c>
      <c r="E247" s="12" t="s">
        <v>37</v>
      </c>
      <c r="F247" s="29"/>
      <c r="G247" s="30"/>
      <c r="H247" s="45" t="s">
        <v>1238</v>
      </c>
      <c r="I247" s="27">
        <v>12.0</v>
      </c>
      <c r="J247" s="28"/>
      <c r="K247" s="22">
        <v>45402.0</v>
      </c>
      <c r="L247" s="23" t="s">
        <v>250</v>
      </c>
      <c r="M247" s="25" t="s">
        <v>1239</v>
      </c>
      <c r="N247" s="25" t="s">
        <v>1240</v>
      </c>
      <c r="O247" s="29"/>
      <c r="P247" s="25">
        <v>73552.0</v>
      </c>
      <c r="Q247" s="25" t="s">
        <v>1196</v>
      </c>
      <c r="R247" s="25" t="s">
        <v>603</v>
      </c>
      <c r="S247" s="32">
        <v>3200.0</v>
      </c>
      <c r="T247" s="25"/>
      <c r="U247" s="25" t="s">
        <v>1241</v>
      </c>
      <c r="V247" s="25" t="s">
        <v>1242</v>
      </c>
      <c r="W247" s="29"/>
      <c r="X247" s="25" t="s">
        <v>1023</v>
      </c>
      <c r="Y247" s="25" t="s">
        <v>48</v>
      </c>
      <c r="Z247" s="25" t="s">
        <v>102</v>
      </c>
      <c r="AA247" s="25" t="s">
        <v>72</v>
      </c>
      <c r="AB247" s="25" t="s">
        <v>719</v>
      </c>
      <c r="AC247" s="29"/>
      <c r="AD247" s="29"/>
      <c r="AE247" s="29"/>
      <c r="AF247" s="29"/>
      <c r="AG247" s="29"/>
      <c r="AH247" s="10" t="s">
        <v>52</v>
      </c>
      <c r="AI247" s="10"/>
      <c r="AJ247" s="10"/>
      <c r="AK247" s="10"/>
    </row>
    <row r="248" hidden="1">
      <c r="A248" s="10">
        <v>247.0</v>
      </c>
      <c r="B248" s="31">
        <v>45355.0</v>
      </c>
      <c r="C248" s="25">
        <v>0.0</v>
      </c>
      <c r="D248" s="12">
        <f t="shared" si="6"/>
        <v>0</v>
      </c>
      <c r="E248" s="65" t="s">
        <v>1192</v>
      </c>
      <c r="F248" s="29"/>
      <c r="G248" s="30"/>
      <c r="H248" s="45" t="s">
        <v>1165</v>
      </c>
      <c r="I248" s="27">
        <v>6.0</v>
      </c>
      <c r="J248" s="28"/>
      <c r="K248" s="22">
        <v>45405.0</v>
      </c>
      <c r="L248" s="19" t="s">
        <v>38</v>
      </c>
      <c r="M248" s="25" t="s">
        <v>1243</v>
      </c>
      <c r="N248" s="25" t="s">
        <v>1244</v>
      </c>
      <c r="O248" s="25" t="s">
        <v>1245</v>
      </c>
      <c r="P248" s="25">
        <v>38031.0</v>
      </c>
      <c r="Q248" s="12" t="s">
        <v>42</v>
      </c>
      <c r="R248" s="12" t="s">
        <v>43</v>
      </c>
      <c r="S248" s="32">
        <v>2275.0</v>
      </c>
      <c r="T248" s="25"/>
      <c r="U248" s="25" t="s">
        <v>1246</v>
      </c>
      <c r="V248" s="25" t="s">
        <v>1247</v>
      </c>
      <c r="W248" s="29"/>
      <c r="X248" s="25" t="s">
        <v>1023</v>
      </c>
      <c r="Y248" s="25" t="s">
        <v>48</v>
      </c>
      <c r="Z248" s="25" t="s">
        <v>49</v>
      </c>
      <c r="AA248" s="25" t="s">
        <v>72</v>
      </c>
      <c r="AB248" s="29"/>
      <c r="AC248" s="29"/>
      <c r="AD248" s="29"/>
      <c r="AE248" s="25"/>
      <c r="AF248" s="25" t="s">
        <v>1102</v>
      </c>
      <c r="AG248" s="29"/>
      <c r="AH248" s="10" t="s">
        <v>52</v>
      </c>
      <c r="AI248" s="10"/>
      <c r="AJ248" s="10"/>
      <c r="AK248" s="10"/>
    </row>
    <row r="249" hidden="1">
      <c r="A249" s="10">
        <v>248.0</v>
      </c>
      <c r="B249" s="31">
        <v>45346.0</v>
      </c>
      <c r="C249" s="25">
        <v>0.0</v>
      </c>
      <c r="D249" s="12">
        <f t="shared" si="6"/>
        <v>0</v>
      </c>
      <c r="E249" s="25" t="s">
        <v>1192</v>
      </c>
      <c r="F249" s="29"/>
      <c r="G249" s="30"/>
      <c r="H249" s="66" t="s">
        <v>1165</v>
      </c>
      <c r="I249" s="27">
        <v>1.0</v>
      </c>
      <c r="J249" s="28"/>
      <c r="K249" s="67">
        <v>45406.0</v>
      </c>
      <c r="L249" s="23" t="s">
        <v>1248</v>
      </c>
      <c r="M249" s="25" t="s">
        <v>1249</v>
      </c>
      <c r="N249" s="25">
        <v>1.5006838E7</v>
      </c>
      <c r="O249" s="25" t="s">
        <v>66</v>
      </c>
      <c r="P249" s="25">
        <v>79899.0</v>
      </c>
      <c r="Q249" s="25" t="s">
        <v>573</v>
      </c>
      <c r="R249" s="25" t="s">
        <v>196</v>
      </c>
      <c r="S249" s="32">
        <v>2185.0</v>
      </c>
      <c r="T249" s="25"/>
      <c r="U249" s="25" t="s">
        <v>1250</v>
      </c>
      <c r="V249" s="25" t="s">
        <v>1251</v>
      </c>
      <c r="W249" s="29"/>
      <c r="X249" s="25" t="s">
        <v>47</v>
      </c>
      <c r="Y249" s="25" t="s">
        <v>48</v>
      </c>
      <c r="Z249" s="25" t="s">
        <v>49</v>
      </c>
      <c r="AA249" s="25" t="s">
        <v>72</v>
      </c>
      <c r="AB249" s="29"/>
      <c r="AC249" s="29"/>
      <c r="AD249" s="29"/>
      <c r="AE249" s="29"/>
      <c r="AF249" s="29"/>
      <c r="AG249" s="29"/>
      <c r="AH249" s="10" t="s">
        <v>52</v>
      </c>
      <c r="AI249" s="10"/>
      <c r="AJ249" s="10"/>
      <c r="AK249" s="10"/>
    </row>
    <row r="250" hidden="1">
      <c r="A250" s="10">
        <v>249.0</v>
      </c>
      <c r="B250" s="31">
        <v>45343.0</v>
      </c>
      <c r="C250" s="25">
        <v>0.0</v>
      </c>
      <c r="D250" s="12">
        <f t="shared" si="6"/>
        <v>0</v>
      </c>
      <c r="E250" s="25" t="s">
        <v>1192</v>
      </c>
      <c r="F250" s="29"/>
      <c r="G250" s="30"/>
      <c r="H250" s="45" t="s">
        <v>1165</v>
      </c>
      <c r="I250" s="27">
        <v>1.0</v>
      </c>
      <c r="J250" s="28"/>
      <c r="K250" s="22">
        <v>45407.0</v>
      </c>
      <c r="L250" s="23" t="s">
        <v>86</v>
      </c>
      <c r="M250" s="25" t="s">
        <v>1252</v>
      </c>
      <c r="N250" s="25" t="s">
        <v>1253</v>
      </c>
      <c r="O250" s="25" t="s">
        <v>1200</v>
      </c>
      <c r="P250" s="25">
        <v>38310.0</v>
      </c>
      <c r="Q250" s="12" t="s">
        <v>42</v>
      </c>
      <c r="R250" s="25" t="s">
        <v>334</v>
      </c>
      <c r="S250" s="32">
        <v>1820.0</v>
      </c>
      <c r="T250" s="25"/>
      <c r="U250" s="25" t="s">
        <v>1254</v>
      </c>
      <c r="V250" s="25" t="s">
        <v>1255</v>
      </c>
      <c r="W250" s="29"/>
      <c r="X250" s="25" t="s">
        <v>1023</v>
      </c>
      <c r="Y250" s="25" t="s">
        <v>120</v>
      </c>
      <c r="Z250" s="25" t="s">
        <v>49</v>
      </c>
      <c r="AA250" s="25" t="s">
        <v>72</v>
      </c>
      <c r="AB250" s="25" t="s">
        <v>1149</v>
      </c>
      <c r="AC250" s="29"/>
      <c r="AD250" s="29"/>
      <c r="AE250" s="29"/>
      <c r="AF250" s="29"/>
      <c r="AG250" s="29"/>
      <c r="AH250" s="10" t="s">
        <v>52</v>
      </c>
      <c r="AI250" s="10"/>
      <c r="AJ250" s="10"/>
      <c r="AK250" s="10"/>
    </row>
    <row r="251" hidden="1">
      <c r="A251" s="10">
        <v>250.0</v>
      </c>
      <c r="B251" s="31">
        <v>45367.0</v>
      </c>
      <c r="C251" s="25">
        <v>0.0</v>
      </c>
      <c r="D251" s="12">
        <f t="shared" si="6"/>
        <v>0</v>
      </c>
      <c r="E251" s="25" t="s">
        <v>1192</v>
      </c>
      <c r="F251" s="29"/>
      <c r="G251" s="30"/>
      <c r="H251" s="45" t="s">
        <v>1165</v>
      </c>
      <c r="I251" s="27">
        <v>4.0</v>
      </c>
      <c r="J251" s="28"/>
      <c r="K251" s="22">
        <v>45407.0</v>
      </c>
      <c r="L251" s="19" t="s">
        <v>270</v>
      </c>
      <c r="M251" s="25" t="s">
        <v>1256</v>
      </c>
      <c r="N251" s="25" t="s">
        <v>1257</v>
      </c>
      <c r="O251" s="25" t="s">
        <v>1226</v>
      </c>
      <c r="P251" s="25">
        <v>79477.0</v>
      </c>
      <c r="Q251" s="12" t="s">
        <v>274</v>
      </c>
      <c r="R251" s="25" t="s">
        <v>275</v>
      </c>
      <c r="S251" s="32">
        <v>4100.0</v>
      </c>
      <c r="T251" s="25"/>
      <c r="U251" s="25" t="s">
        <v>1258</v>
      </c>
      <c r="V251" s="29"/>
      <c r="W251" s="29"/>
      <c r="X251" s="25" t="s">
        <v>1023</v>
      </c>
      <c r="Y251" s="25" t="s">
        <v>48</v>
      </c>
      <c r="Z251" s="25" t="s">
        <v>102</v>
      </c>
      <c r="AA251" s="25" t="s">
        <v>72</v>
      </c>
      <c r="AB251" s="25" t="s">
        <v>719</v>
      </c>
      <c r="AC251" s="29"/>
      <c r="AD251" s="29"/>
      <c r="AE251" s="29"/>
      <c r="AF251" s="29"/>
      <c r="AG251" s="29"/>
      <c r="AH251" s="10" t="s">
        <v>52</v>
      </c>
      <c r="AI251" s="10"/>
      <c r="AJ251" s="10"/>
      <c r="AK251" s="10"/>
    </row>
    <row r="252" hidden="1">
      <c r="A252" s="10">
        <v>251.0</v>
      </c>
      <c r="B252" s="31">
        <v>45376.0</v>
      </c>
      <c r="C252" s="25">
        <v>0.0</v>
      </c>
      <c r="D252" s="12">
        <f t="shared" si="6"/>
        <v>0</v>
      </c>
      <c r="E252" s="25" t="s">
        <v>1192</v>
      </c>
      <c r="F252" s="29"/>
      <c r="G252" s="30"/>
      <c r="H252" s="45" t="s">
        <v>1165</v>
      </c>
      <c r="I252" s="27">
        <v>4.0</v>
      </c>
      <c r="J252" s="28"/>
      <c r="K252" s="22">
        <v>45408.0</v>
      </c>
      <c r="L252" s="19" t="s">
        <v>270</v>
      </c>
      <c r="M252" s="25" t="s">
        <v>1234</v>
      </c>
      <c r="N252" s="25" t="s">
        <v>1259</v>
      </c>
      <c r="O252" s="25" t="s">
        <v>1226</v>
      </c>
      <c r="P252" s="25">
        <v>79407.0</v>
      </c>
      <c r="Q252" s="12" t="s">
        <v>274</v>
      </c>
      <c r="R252" s="25" t="s">
        <v>275</v>
      </c>
      <c r="S252" s="32">
        <v>4100.0</v>
      </c>
      <c r="T252" s="25"/>
      <c r="U252" s="25" t="s">
        <v>1260</v>
      </c>
      <c r="V252" s="25" t="s">
        <v>1261</v>
      </c>
      <c r="W252" s="29"/>
      <c r="X252" s="25" t="s">
        <v>1023</v>
      </c>
      <c r="Y252" s="25" t="s">
        <v>48</v>
      </c>
      <c r="Z252" s="25" t="s">
        <v>102</v>
      </c>
      <c r="AA252" s="25" t="s">
        <v>72</v>
      </c>
      <c r="AB252" s="25" t="s">
        <v>719</v>
      </c>
      <c r="AC252" s="29"/>
      <c r="AD252" s="29"/>
      <c r="AE252" s="29"/>
      <c r="AF252" s="29"/>
      <c r="AG252" s="29"/>
      <c r="AH252" s="10" t="s">
        <v>52</v>
      </c>
      <c r="AI252" s="10"/>
      <c r="AJ252" s="10"/>
      <c r="AK252" s="10"/>
    </row>
    <row r="253" hidden="1">
      <c r="A253" s="10">
        <v>252.0</v>
      </c>
      <c r="B253" s="58">
        <v>45265.0</v>
      </c>
      <c r="C253" s="26">
        <v>0.0</v>
      </c>
      <c r="D253" s="20">
        <f t="shared" si="6"/>
        <v>0</v>
      </c>
      <c r="E253" s="12" t="s">
        <v>37</v>
      </c>
      <c r="F253" s="29"/>
      <c r="G253" s="30"/>
      <c r="H253" s="45" t="s">
        <v>1177</v>
      </c>
      <c r="I253" s="27">
        <v>3.0</v>
      </c>
      <c r="J253" s="28"/>
      <c r="K253" s="61">
        <v>45409.0</v>
      </c>
      <c r="L253" s="23" t="s">
        <v>503</v>
      </c>
      <c r="M253" s="26" t="s">
        <v>547</v>
      </c>
      <c r="N253" s="26" t="s">
        <v>1262</v>
      </c>
      <c r="O253" s="26" t="s">
        <v>1020</v>
      </c>
      <c r="P253" s="25">
        <v>79755.0</v>
      </c>
      <c r="Q253" s="25" t="s">
        <v>171</v>
      </c>
      <c r="R253" s="25" t="s">
        <v>549</v>
      </c>
      <c r="S253" s="68">
        <v>950.0</v>
      </c>
      <c r="T253" s="25"/>
      <c r="U253" s="25" t="s">
        <v>1263</v>
      </c>
      <c r="V253" s="25" t="s">
        <v>1264</v>
      </c>
      <c r="W253" s="29"/>
      <c r="X253" s="25" t="s">
        <v>1023</v>
      </c>
      <c r="Y253" s="25" t="s">
        <v>48</v>
      </c>
      <c r="Z253" s="25" t="s">
        <v>524</v>
      </c>
      <c r="AA253" s="25" t="s">
        <v>72</v>
      </c>
      <c r="AB253" s="25" t="s">
        <v>165</v>
      </c>
      <c r="AC253" s="29"/>
      <c r="AD253" s="29"/>
      <c r="AE253" s="29"/>
      <c r="AF253" s="29"/>
      <c r="AG253" s="29"/>
      <c r="AH253" s="10" t="s">
        <v>52</v>
      </c>
      <c r="AI253" s="10"/>
      <c r="AJ253" s="10"/>
      <c r="AK253" s="10"/>
    </row>
    <row r="254" hidden="1">
      <c r="A254" s="10">
        <v>253.0</v>
      </c>
      <c r="B254" s="31">
        <v>45343.0</v>
      </c>
      <c r="C254" s="25">
        <v>0.0</v>
      </c>
      <c r="D254" s="12">
        <f t="shared" si="6"/>
        <v>0</v>
      </c>
      <c r="E254" s="25" t="s">
        <v>1192</v>
      </c>
      <c r="F254" s="29"/>
      <c r="G254" s="30"/>
      <c r="H254" s="64" t="s">
        <v>1165</v>
      </c>
      <c r="I254" s="27">
        <v>1.0</v>
      </c>
      <c r="J254" s="28"/>
      <c r="K254" s="63">
        <v>45409.0</v>
      </c>
      <c r="L254" s="19" t="s">
        <v>38</v>
      </c>
      <c r="M254" s="25" t="s">
        <v>1265</v>
      </c>
      <c r="N254" s="25" t="s">
        <v>1266</v>
      </c>
      <c r="O254" s="25" t="s">
        <v>788</v>
      </c>
      <c r="P254" s="25">
        <v>38443.0</v>
      </c>
      <c r="Q254" s="12" t="s">
        <v>42</v>
      </c>
      <c r="R254" s="25" t="s">
        <v>334</v>
      </c>
      <c r="S254" s="32">
        <v>1950.0</v>
      </c>
      <c r="T254" s="25"/>
      <c r="U254" s="25" t="s">
        <v>1267</v>
      </c>
      <c r="V254" s="25" t="s">
        <v>1268</v>
      </c>
      <c r="W254" s="29"/>
      <c r="X254" s="25" t="s">
        <v>47</v>
      </c>
      <c r="Y254" s="25" t="s">
        <v>48</v>
      </c>
      <c r="Z254" s="25" t="s">
        <v>49</v>
      </c>
      <c r="AA254" s="25" t="s">
        <v>50</v>
      </c>
      <c r="AB254" s="25" t="s">
        <v>1149</v>
      </c>
      <c r="AC254" s="29"/>
      <c r="AD254" s="29"/>
      <c r="AE254" s="25"/>
      <c r="AF254" s="25"/>
      <c r="AG254" s="29"/>
      <c r="AH254" s="10" t="s">
        <v>52</v>
      </c>
      <c r="AI254" s="10"/>
      <c r="AJ254" s="10"/>
      <c r="AK254" s="10"/>
    </row>
    <row r="255" hidden="1">
      <c r="A255" s="10">
        <v>254.0</v>
      </c>
      <c r="B255" s="31">
        <v>45377.0</v>
      </c>
      <c r="C255" s="25">
        <v>0.0</v>
      </c>
      <c r="D255" s="12">
        <f t="shared" si="6"/>
        <v>0</v>
      </c>
      <c r="E255" s="25" t="s">
        <v>1269</v>
      </c>
      <c r="F255" s="29"/>
      <c r="G255" s="30"/>
      <c r="H255" s="45" t="s">
        <v>1165</v>
      </c>
      <c r="I255" s="27">
        <v>1.0</v>
      </c>
      <c r="J255" s="28"/>
      <c r="K255" s="22">
        <v>45410.0</v>
      </c>
      <c r="L255" s="23" t="s">
        <v>590</v>
      </c>
      <c r="M255" s="25" t="s">
        <v>1270</v>
      </c>
      <c r="N255" s="25">
        <v>9.0003827E7</v>
      </c>
      <c r="O255" s="25" t="s">
        <v>1271</v>
      </c>
      <c r="P255" s="25">
        <v>84491.0</v>
      </c>
      <c r="Q255" s="25" t="s">
        <v>1272</v>
      </c>
      <c r="R255" s="25" t="s">
        <v>1273</v>
      </c>
      <c r="S255" s="32">
        <v>2480.0</v>
      </c>
      <c r="T255" s="25"/>
      <c r="U255" s="25" t="s">
        <v>1274</v>
      </c>
      <c r="V255" s="25" t="s">
        <v>1275</v>
      </c>
      <c r="W255" s="29"/>
      <c r="X255" s="25" t="s">
        <v>1023</v>
      </c>
      <c r="Y255" s="25" t="s">
        <v>48</v>
      </c>
      <c r="Z255" s="25" t="s">
        <v>102</v>
      </c>
      <c r="AA255" s="25" t="s">
        <v>72</v>
      </c>
      <c r="AB255" s="25" t="s">
        <v>1276</v>
      </c>
      <c r="AC255" s="29"/>
      <c r="AD255" s="29"/>
      <c r="AE255" s="29"/>
      <c r="AF255" s="29"/>
      <c r="AG255" s="29"/>
      <c r="AH255" s="10" t="s">
        <v>52</v>
      </c>
      <c r="AI255" s="10"/>
      <c r="AJ255" s="10"/>
      <c r="AK255" s="10"/>
    </row>
    <row r="256" ht="48.75" hidden="1" customHeight="1">
      <c r="A256" s="10">
        <v>255.0</v>
      </c>
      <c r="B256" s="31">
        <v>45378.0</v>
      </c>
      <c r="C256" s="25">
        <v>0.0</v>
      </c>
      <c r="D256" s="12">
        <f t="shared" si="6"/>
        <v>0</v>
      </c>
      <c r="E256" s="25" t="s">
        <v>1277</v>
      </c>
      <c r="F256" s="29"/>
      <c r="G256" s="30"/>
      <c r="H256" s="45" t="s">
        <v>1165</v>
      </c>
      <c r="I256" s="27">
        <v>2.0</v>
      </c>
      <c r="J256" s="28"/>
      <c r="K256" s="22">
        <v>45416.0</v>
      </c>
      <c r="L256" s="23" t="s">
        <v>270</v>
      </c>
      <c r="M256" s="25" t="s">
        <v>1278</v>
      </c>
      <c r="N256" s="25" t="s">
        <v>1279</v>
      </c>
      <c r="O256" s="25" t="s">
        <v>1226</v>
      </c>
      <c r="P256" s="25">
        <v>86208.0</v>
      </c>
      <c r="Q256" s="25" t="s">
        <v>1280</v>
      </c>
      <c r="R256" s="25" t="s">
        <v>275</v>
      </c>
      <c r="S256" s="32">
        <v>4100.0</v>
      </c>
      <c r="T256" s="25"/>
      <c r="U256" s="25" t="s">
        <v>1281</v>
      </c>
      <c r="V256" s="25" t="s">
        <v>1282</v>
      </c>
      <c r="W256" s="29"/>
      <c r="X256" s="25" t="s">
        <v>1023</v>
      </c>
      <c r="Y256" s="25" t="s">
        <v>48</v>
      </c>
      <c r="Z256" s="25" t="s">
        <v>102</v>
      </c>
      <c r="AA256" s="25" t="s">
        <v>72</v>
      </c>
      <c r="AB256" s="25" t="s">
        <v>719</v>
      </c>
      <c r="AC256" s="29"/>
      <c r="AD256" s="29"/>
      <c r="AE256" s="29"/>
      <c r="AF256" s="29"/>
      <c r="AG256" s="29"/>
      <c r="AH256" s="10" t="s">
        <v>52</v>
      </c>
      <c r="AI256" s="10"/>
      <c r="AJ256" s="10"/>
      <c r="AK256" s="10"/>
    </row>
    <row r="257" hidden="1">
      <c r="A257" s="10">
        <v>256.0</v>
      </c>
      <c r="B257" s="31">
        <v>45380.0</v>
      </c>
      <c r="C257" s="25">
        <v>0.0</v>
      </c>
      <c r="D257" s="12">
        <f t="shared" si="6"/>
        <v>0</v>
      </c>
      <c r="E257" s="25" t="s">
        <v>1269</v>
      </c>
      <c r="F257" s="29"/>
      <c r="G257" s="30"/>
      <c r="H257" s="45" t="s">
        <v>1165</v>
      </c>
      <c r="I257" s="27">
        <v>4.0</v>
      </c>
      <c r="J257" s="28"/>
      <c r="K257" s="22">
        <v>45409.0</v>
      </c>
      <c r="L257" s="23" t="s">
        <v>1283</v>
      </c>
      <c r="M257" s="25" t="s">
        <v>1131</v>
      </c>
      <c r="N257" s="25" t="s">
        <v>1284</v>
      </c>
      <c r="O257" s="25" t="s">
        <v>1285</v>
      </c>
      <c r="P257" s="25">
        <v>81492.0</v>
      </c>
      <c r="Q257" s="25" t="s">
        <v>1286</v>
      </c>
      <c r="R257" s="25" t="s">
        <v>1273</v>
      </c>
      <c r="S257" s="32">
        <v>2140.0</v>
      </c>
      <c r="T257" s="25"/>
      <c r="U257" s="25" t="s">
        <v>1287</v>
      </c>
      <c r="V257" s="25" t="s">
        <v>1288</v>
      </c>
      <c r="W257" s="29"/>
      <c r="X257" s="25" t="s">
        <v>1023</v>
      </c>
      <c r="Y257" s="25" t="s">
        <v>48</v>
      </c>
      <c r="Z257" s="25" t="s">
        <v>102</v>
      </c>
      <c r="AA257" s="25" t="s">
        <v>72</v>
      </c>
      <c r="AB257" s="25" t="s">
        <v>1289</v>
      </c>
      <c r="AC257" s="29"/>
      <c r="AD257" s="29"/>
      <c r="AE257" s="29"/>
      <c r="AF257" s="29"/>
      <c r="AG257" s="29"/>
      <c r="AH257" s="10" t="s">
        <v>52</v>
      </c>
      <c r="AI257" s="10"/>
      <c r="AJ257" s="10"/>
      <c r="AK257" s="10"/>
    </row>
    <row r="258" hidden="1">
      <c r="A258" s="10">
        <v>257.0</v>
      </c>
      <c r="B258" s="31">
        <v>45381.0</v>
      </c>
      <c r="C258" s="25">
        <v>0.0</v>
      </c>
      <c r="D258" s="12">
        <f t="shared" si="6"/>
        <v>0</v>
      </c>
      <c r="E258" s="25" t="s">
        <v>1290</v>
      </c>
      <c r="F258" s="29"/>
      <c r="G258" s="30"/>
      <c r="H258" s="45" t="s">
        <v>1177</v>
      </c>
      <c r="I258" s="27">
        <v>1.0</v>
      </c>
      <c r="J258" s="28"/>
      <c r="K258" s="22">
        <v>45413.0</v>
      </c>
      <c r="L258" s="23" t="s">
        <v>250</v>
      </c>
      <c r="M258" s="25" t="s">
        <v>1291</v>
      </c>
      <c r="N258" s="25">
        <v>246489.0</v>
      </c>
      <c r="O258" s="29"/>
      <c r="P258" s="25">
        <v>85259.0</v>
      </c>
      <c r="Q258" s="25" t="s">
        <v>1286</v>
      </c>
      <c r="R258" s="25" t="s">
        <v>254</v>
      </c>
      <c r="S258" s="32">
        <v>2775.0</v>
      </c>
      <c r="T258" s="25"/>
      <c r="U258" s="25" t="s">
        <v>1292</v>
      </c>
      <c r="V258" s="25" t="s">
        <v>1293</v>
      </c>
      <c r="W258" s="29"/>
      <c r="X258" s="25" t="s">
        <v>1023</v>
      </c>
      <c r="Y258" s="25" t="s">
        <v>48</v>
      </c>
      <c r="Z258" s="25" t="s">
        <v>102</v>
      </c>
      <c r="AA258" s="25" t="s">
        <v>72</v>
      </c>
      <c r="AB258" s="25" t="s">
        <v>1183</v>
      </c>
      <c r="AC258" s="29"/>
      <c r="AD258" s="29"/>
      <c r="AE258" s="29"/>
      <c r="AF258" s="29"/>
      <c r="AG258" s="29"/>
      <c r="AH258" s="10" t="s">
        <v>52</v>
      </c>
      <c r="AI258" s="10"/>
      <c r="AJ258" s="10"/>
      <c r="AK258" s="10"/>
    </row>
    <row r="259" ht="48.75" hidden="1" customHeight="1">
      <c r="A259" s="10">
        <v>258.0</v>
      </c>
      <c r="B259" s="69">
        <v>45394.0</v>
      </c>
      <c r="C259" s="25">
        <v>0.0</v>
      </c>
      <c r="D259" s="12">
        <f t="shared" si="6"/>
        <v>0</v>
      </c>
      <c r="E259" s="25" t="s">
        <v>1294</v>
      </c>
      <c r="F259" s="29"/>
      <c r="G259" s="30"/>
      <c r="H259" s="45" t="s">
        <v>1177</v>
      </c>
      <c r="I259" s="27">
        <v>24.0</v>
      </c>
      <c r="J259" s="28"/>
      <c r="K259" s="22">
        <v>45414.0</v>
      </c>
      <c r="L259" s="23" t="s">
        <v>555</v>
      </c>
      <c r="M259" s="25" t="s">
        <v>1295</v>
      </c>
      <c r="N259" s="25" t="s">
        <v>1296</v>
      </c>
      <c r="O259" s="29"/>
      <c r="P259" s="25">
        <v>82091.0</v>
      </c>
      <c r="Q259" s="25" t="s">
        <v>477</v>
      </c>
      <c r="R259" s="25" t="s">
        <v>559</v>
      </c>
      <c r="S259" s="29"/>
      <c r="T259" s="25"/>
      <c r="U259" s="25" t="s">
        <v>1297</v>
      </c>
      <c r="V259" s="25">
        <v>3.100017634E9</v>
      </c>
      <c r="W259" s="29"/>
      <c r="X259" s="25" t="s">
        <v>1023</v>
      </c>
      <c r="Y259" s="25" t="s">
        <v>48</v>
      </c>
      <c r="Z259" s="25" t="s">
        <v>102</v>
      </c>
      <c r="AA259" s="25" t="s">
        <v>72</v>
      </c>
      <c r="AB259" s="25" t="s">
        <v>1149</v>
      </c>
      <c r="AC259" s="29"/>
      <c r="AD259" s="29"/>
      <c r="AE259" s="29"/>
      <c r="AF259" s="29"/>
      <c r="AG259" s="29"/>
      <c r="AH259" s="10" t="s">
        <v>52</v>
      </c>
      <c r="AI259" s="10"/>
      <c r="AJ259" s="10"/>
      <c r="AK259" s="10"/>
    </row>
    <row r="260" hidden="1">
      <c r="A260" s="10">
        <v>259.0</v>
      </c>
      <c r="B260" s="31">
        <v>45376.0</v>
      </c>
      <c r="C260" s="25">
        <v>0.0</v>
      </c>
      <c r="D260" s="12">
        <f t="shared" si="6"/>
        <v>0</v>
      </c>
      <c r="E260" s="25" t="s">
        <v>1298</v>
      </c>
      <c r="F260" s="29"/>
      <c r="G260" s="30"/>
      <c r="H260" s="45" t="s">
        <v>1177</v>
      </c>
      <c r="I260" s="27">
        <v>15.0</v>
      </c>
      <c r="J260" s="28"/>
      <c r="K260" s="22">
        <v>45416.0</v>
      </c>
      <c r="L260" s="23" t="s">
        <v>555</v>
      </c>
      <c r="M260" s="25" t="s">
        <v>1295</v>
      </c>
      <c r="N260" s="25" t="s">
        <v>1299</v>
      </c>
      <c r="O260" s="29"/>
      <c r="P260" s="25">
        <v>82094.0</v>
      </c>
      <c r="Q260" s="25" t="s">
        <v>477</v>
      </c>
      <c r="R260" s="25" t="s">
        <v>559</v>
      </c>
      <c r="S260" s="32">
        <v>2320.0</v>
      </c>
      <c r="T260" s="25"/>
      <c r="U260" s="25" t="s">
        <v>1300</v>
      </c>
      <c r="V260" s="25">
        <v>3.100016623E9</v>
      </c>
      <c r="W260" s="25" t="s">
        <v>1301</v>
      </c>
      <c r="X260" s="25" t="s">
        <v>1023</v>
      </c>
      <c r="Y260" s="25" t="s">
        <v>48</v>
      </c>
      <c r="Z260" s="25" t="s">
        <v>102</v>
      </c>
      <c r="AA260" s="25" t="s">
        <v>72</v>
      </c>
      <c r="AB260" s="25" t="s">
        <v>1149</v>
      </c>
      <c r="AC260" s="29"/>
      <c r="AD260" s="29"/>
      <c r="AE260" s="29"/>
      <c r="AF260" s="29"/>
      <c r="AG260" s="29"/>
      <c r="AH260" s="10" t="s">
        <v>52</v>
      </c>
      <c r="AI260" s="10"/>
      <c r="AJ260" s="10"/>
      <c r="AK260" s="10"/>
    </row>
    <row r="261" hidden="1">
      <c r="A261" s="10">
        <v>260.0</v>
      </c>
      <c r="B261" s="31">
        <v>45358.0</v>
      </c>
      <c r="C261" s="25">
        <v>0.0</v>
      </c>
      <c r="D261" s="12">
        <f t="shared" si="6"/>
        <v>0</v>
      </c>
      <c r="E261" s="25" t="s">
        <v>1192</v>
      </c>
      <c r="F261" s="29"/>
      <c r="G261" s="30"/>
      <c r="H261" s="45" t="s">
        <v>1302</v>
      </c>
      <c r="I261" s="27">
        <v>14.0</v>
      </c>
      <c r="J261" s="28"/>
      <c r="K261" s="22">
        <v>45420.0</v>
      </c>
      <c r="L261" s="23" t="s">
        <v>988</v>
      </c>
      <c r="M261" s="25" t="s">
        <v>1303</v>
      </c>
      <c r="N261" s="25" t="s">
        <v>1304</v>
      </c>
      <c r="O261" s="25" t="s">
        <v>66</v>
      </c>
      <c r="P261" s="25">
        <v>41260.0</v>
      </c>
      <c r="Q261" s="12" t="s">
        <v>67</v>
      </c>
      <c r="R261" s="12" t="s">
        <v>116</v>
      </c>
      <c r="S261" s="32">
        <v>2250.0</v>
      </c>
      <c r="T261" s="25"/>
      <c r="U261" s="25" t="s">
        <v>1305</v>
      </c>
      <c r="V261" s="25" t="s">
        <v>1306</v>
      </c>
      <c r="W261" s="25" t="s">
        <v>1307</v>
      </c>
      <c r="X261" s="25" t="s">
        <v>1023</v>
      </c>
      <c r="Y261" s="25" t="s">
        <v>120</v>
      </c>
      <c r="Z261" s="25" t="s">
        <v>49</v>
      </c>
      <c r="AA261" s="25" t="s">
        <v>72</v>
      </c>
      <c r="AB261" s="25" t="s">
        <v>719</v>
      </c>
      <c r="AC261" s="29"/>
      <c r="AD261" s="29"/>
      <c r="AE261" s="29"/>
      <c r="AF261" s="29"/>
      <c r="AG261" s="29"/>
      <c r="AH261" s="10" t="s">
        <v>52</v>
      </c>
      <c r="AI261" s="10"/>
      <c r="AJ261" s="10"/>
      <c r="AK261" s="10"/>
    </row>
    <row r="262" ht="45.75" hidden="1" customHeight="1">
      <c r="A262" s="10">
        <v>261.0</v>
      </c>
      <c r="B262" s="31">
        <v>45394.0</v>
      </c>
      <c r="C262" s="25">
        <v>0.0</v>
      </c>
      <c r="D262" s="12">
        <f t="shared" si="6"/>
        <v>0</v>
      </c>
      <c r="E262" s="25" t="s">
        <v>1308</v>
      </c>
      <c r="F262" s="29"/>
      <c r="G262" s="30"/>
      <c r="H262" s="45" t="s">
        <v>1165</v>
      </c>
      <c r="I262" s="27">
        <v>3.0</v>
      </c>
      <c r="J262" s="28"/>
      <c r="K262" s="22">
        <v>45420.0</v>
      </c>
      <c r="L262" s="23" t="s">
        <v>503</v>
      </c>
      <c r="M262" s="25" t="s">
        <v>547</v>
      </c>
      <c r="N262" s="25" t="s">
        <v>1309</v>
      </c>
      <c r="O262" s="25" t="s">
        <v>1285</v>
      </c>
      <c r="P262" s="25">
        <v>87652.0</v>
      </c>
      <c r="Q262" s="25" t="s">
        <v>171</v>
      </c>
      <c r="R262" s="25" t="s">
        <v>549</v>
      </c>
      <c r="S262" s="35">
        <v>2500.0</v>
      </c>
      <c r="T262" s="25"/>
      <c r="U262" s="25" t="s">
        <v>1310</v>
      </c>
      <c r="V262" s="25" t="s">
        <v>1311</v>
      </c>
      <c r="W262" s="29"/>
      <c r="X262" s="25" t="s">
        <v>1023</v>
      </c>
      <c r="Y262" s="25" t="s">
        <v>48</v>
      </c>
      <c r="Z262" s="25" t="s">
        <v>524</v>
      </c>
      <c r="AA262" s="25" t="s">
        <v>72</v>
      </c>
      <c r="AB262" s="25" t="s">
        <v>165</v>
      </c>
      <c r="AC262" s="29"/>
      <c r="AD262" s="29"/>
      <c r="AE262" s="29"/>
      <c r="AF262" s="29"/>
      <c r="AG262" s="29"/>
      <c r="AH262" s="10" t="s">
        <v>52</v>
      </c>
      <c r="AI262" s="10"/>
      <c r="AJ262" s="10"/>
      <c r="AK262" s="10"/>
    </row>
    <row r="263" hidden="1">
      <c r="A263" s="10">
        <v>262.0</v>
      </c>
      <c r="B263" s="31">
        <v>45358.0</v>
      </c>
      <c r="C263" s="25">
        <v>0.0</v>
      </c>
      <c r="D263" s="12">
        <f t="shared" si="6"/>
        <v>0</v>
      </c>
      <c r="E263" s="12" t="s">
        <v>37</v>
      </c>
      <c r="F263" s="29"/>
      <c r="G263" s="30"/>
      <c r="H263" s="45" t="s">
        <v>1177</v>
      </c>
      <c r="I263" s="27">
        <v>1.0</v>
      </c>
      <c r="J263" s="28"/>
      <c r="K263" s="22">
        <v>45421.0</v>
      </c>
      <c r="L263" s="23" t="s">
        <v>1312</v>
      </c>
      <c r="M263" s="25" t="s">
        <v>1313</v>
      </c>
      <c r="N263" s="25" t="s">
        <v>1314</v>
      </c>
      <c r="O263" s="25" t="s">
        <v>66</v>
      </c>
      <c r="P263" s="25">
        <v>44528.0</v>
      </c>
      <c r="Q263" s="12" t="s">
        <v>129</v>
      </c>
      <c r="R263" s="25" t="s">
        <v>1315</v>
      </c>
      <c r="S263" s="25" t="s">
        <v>165</v>
      </c>
      <c r="T263" s="25"/>
      <c r="U263" s="25" t="s">
        <v>1316</v>
      </c>
      <c r="V263" s="25" t="s">
        <v>1317</v>
      </c>
      <c r="W263" s="29"/>
      <c r="X263" s="25" t="s">
        <v>1023</v>
      </c>
      <c r="Y263" s="25" t="s">
        <v>48</v>
      </c>
      <c r="Z263" s="25" t="s">
        <v>524</v>
      </c>
      <c r="AA263" s="25" t="s">
        <v>970</v>
      </c>
      <c r="AB263" s="25" t="s">
        <v>294</v>
      </c>
      <c r="AC263" s="29"/>
      <c r="AD263" s="29"/>
      <c r="AE263" s="29"/>
      <c r="AF263" s="29"/>
      <c r="AG263" s="29"/>
      <c r="AH263" s="10" t="s">
        <v>52</v>
      </c>
      <c r="AI263" s="10"/>
      <c r="AJ263" s="10"/>
      <c r="AK263" s="10"/>
    </row>
    <row r="264" hidden="1">
      <c r="A264" s="10">
        <v>263.0</v>
      </c>
      <c r="B264" s="31">
        <v>45337.0</v>
      </c>
      <c r="C264" s="25">
        <v>0.0</v>
      </c>
      <c r="D264" s="12">
        <f t="shared" si="6"/>
        <v>0</v>
      </c>
      <c r="E264" s="25" t="s">
        <v>1308</v>
      </c>
      <c r="F264" s="29"/>
      <c r="G264" s="30"/>
      <c r="H264" s="45" t="s">
        <v>1165</v>
      </c>
      <c r="I264" s="27">
        <v>3.0</v>
      </c>
      <c r="J264" s="28"/>
      <c r="K264" s="22">
        <v>45423.0</v>
      </c>
      <c r="L264" s="23" t="s">
        <v>157</v>
      </c>
      <c r="M264" s="29"/>
      <c r="N264" s="25" t="s">
        <v>1318</v>
      </c>
      <c r="O264" s="29"/>
      <c r="P264" s="25">
        <v>44045.0</v>
      </c>
      <c r="Q264" s="25" t="s">
        <v>160</v>
      </c>
      <c r="R264" s="25" t="s">
        <v>161</v>
      </c>
      <c r="S264" s="29"/>
      <c r="T264" s="25"/>
      <c r="U264" s="25" t="s">
        <v>1319</v>
      </c>
      <c r="V264" s="29"/>
      <c r="W264" s="29"/>
      <c r="X264" s="25" t="s">
        <v>1023</v>
      </c>
      <c r="Y264" s="25" t="s">
        <v>48</v>
      </c>
      <c r="Z264" s="25" t="s">
        <v>92</v>
      </c>
      <c r="AA264" s="25" t="s">
        <v>72</v>
      </c>
      <c r="AB264" s="25" t="s">
        <v>165</v>
      </c>
      <c r="AC264" s="29"/>
      <c r="AD264" s="29"/>
      <c r="AE264" s="29"/>
      <c r="AF264" s="29"/>
      <c r="AG264" s="29"/>
      <c r="AH264" s="10" t="s">
        <v>52</v>
      </c>
      <c r="AI264" s="10"/>
      <c r="AJ264" s="10"/>
      <c r="AK264" s="10"/>
    </row>
    <row r="265" hidden="1">
      <c r="A265" s="10">
        <v>264.0</v>
      </c>
      <c r="B265" s="31">
        <v>45362.0</v>
      </c>
      <c r="C265" s="25">
        <v>0.0</v>
      </c>
      <c r="D265" s="12">
        <f t="shared" si="6"/>
        <v>0</v>
      </c>
      <c r="E265" s="25" t="s">
        <v>1192</v>
      </c>
      <c r="F265" s="29"/>
      <c r="G265" s="30"/>
      <c r="H265" s="45" t="s">
        <v>1302</v>
      </c>
      <c r="I265" s="27">
        <v>14.0</v>
      </c>
      <c r="J265" s="28"/>
      <c r="K265" s="22">
        <v>45426.0</v>
      </c>
      <c r="L265" s="23" t="s">
        <v>988</v>
      </c>
      <c r="M265" s="25" t="s">
        <v>1320</v>
      </c>
      <c r="N265" s="25" t="s">
        <v>1321</v>
      </c>
      <c r="O265" s="25" t="s">
        <v>66</v>
      </c>
      <c r="P265" s="25">
        <v>45014.0</v>
      </c>
      <c r="Q265" s="12" t="s">
        <v>67</v>
      </c>
      <c r="R265" s="12" t="s">
        <v>116</v>
      </c>
      <c r="S265" s="32">
        <v>2250.0</v>
      </c>
      <c r="T265" s="25"/>
      <c r="U265" s="25" t="s">
        <v>1322</v>
      </c>
      <c r="V265" s="25" t="s">
        <v>1323</v>
      </c>
      <c r="W265" s="25" t="s">
        <v>1324</v>
      </c>
      <c r="X265" s="25" t="s">
        <v>1023</v>
      </c>
      <c r="Y265" s="25" t="s">
        <v>120</v>
      </c>
      <c r="Z265" s="25" t="s">
        <v>49</v>
      </c>
      <c r="AA265" s="25" t="s">
        <v>72</v>
      </c>
      <c r="AB265" s="25" t="s">
        <v>719</v>
      </c>
      <c r="AC265" s="29"/>
      <c r="AD265" s="29"/>
      <c r="AE265" s="29"/>
      <c r="AF265" s="29"/>
      <c r="AG265" s="29"/>
      <c r="AH265" s="10" t="s">
        <v>52</v>
      </c>
      <c r="AI265" s="10"/>
      <c r="AJ265" s="10"/>
      <c r="AK265" s="10"/>
    </row>
    <row r="266" hidden="1">
      <c r="A266" s="10">
        <v>265.0</v>
      </c>
      <c r="B266" s="31">
        <v>45389.0</v>
      </c>
      <c r="C266" s="25">
        <v>0.0</v>
      </c>
      <c r="D266" s="12">
        <f t="shared" si="6"/>
        <v>0</v>
      </c>
      <c r="E266" s="12" t="s">
        <v>37</v>
      </c>
      <c r="F266" s="29"/>
      <c r="G266" s="30"/>
      <c r="H266" s="45" t="s">
        <v>1177</v>
      </c>
      <c r="I266" s="27">
        <v>7.0</v>
      </c>
      <c r="J266" s="28"/>
      <c r="K266" s="22">
        <v>45426.0</v>
      </c>
      <c r="L266" s="23" t="s">
        <v>250</v>
      </c>
      <c r="M266" s="25" t="s">
        <v>1325</v>
      </c>
      <c r="N266" s="25" t="s">
        <v>1326</v>
      </c>
      <c r="O266" s="25" t="s">
        <v>1327</v>
      </c>
      <c r="P266" s="25">
        <v>90732.0</v>
      </c>
      <c r="Q266" s="25" t="s">
        <v>1196</v>
      </c>
      <c r="R266" s="25" t="s">
        <v>603</v>
      </c>
      <c r="S266" s="32">
        <v>3200.0</v>
      </c>
      <c r="T266" s="25"/>
      <c r="U266" s="25" t="s">
        <v>1328</v>
      </c>
      <c r="V266" s="25" t="s">
        <v>1329</v>
      </c>
      <c r="W266" s="29"/>
      <c r="X266" s="25" t="s">
        <v>1023</v>
      </c>
      <c r="Y266" s="25" t="s">
        <v>48</v>
      </c>
      <c r="Z266" s="25" t="s">
        <v>102</v>
      </c>
      <c r="AA266" s="25" t="s">
        <v>72</v>
      </c>
      <c r="AB266" s="25" t="s">
        <v>719</v>
      </c>
      <c r="AC266" s="29"/>
      <c r="AD266" s="29"/>
      <c r="AE266" s="29"/>
      <c r="AF266" s="29"/>
      <c r="AG266" s="29"/>
      <c r="AH266" s="10" t="s">
        <v>52</v>
      </c>
      <c r="AI266" s="10"/>
      <c r="AJ266" s="10"/>
      <c r="AK266" s="10"/>
    </row>
    <row r="267" hidden="1">
      <c r="A267" s="10">
        <v>266.0</v>
      </c>
      <c r="B267" s="31">
        <v>45365.0</v>
      </c>
      <c r="C267" s="25">
        <v>0.0</v>
      </c>
      <c r="D267" s="12">
        <f t="shared" si="6"/>
        <v>0</v>
      </c>
      <c r="E267" s="25" t="s">
        <v>1308</v>
      </c>
      <c r="F267" s="29"/>
      <c r="G267" s="30"/>
      <c r="H267" s="45" t="s">
        <v>1165</v>
      </c>
      <c r="I267" s="27">
        <v>3.0</v>
      </c>
      <c r="J267" s="28"/>
      <c r="K267" s="22">
        <v>45431.0</v>
      </c>
      <c r="L267" s="23" t="s">
        <v>157</v>
      </c>
      <c r="M267" s="29"/>
      <c r="N267" s="25" t="s">
        <v>1330</v>
      </c>
      <c r="O267" s="25" t="s">
        <v>66</v>
      </c>
      <c r="P267" s="25">
        <v>47452.0</v>
      </c>
      <c r="Q267" s="25" t="s">
        <v>160</v>
      </c>
      <c r="R267" s="25" t="s">
        <v>161</v>
      </c>
      <c r="S267" s="25" t="s">
        <v>165</v>
      </c>
      <c r="T267" s="25"/>
      <c r="U267" s="25" t="s">
        <v>1331</v>
      </c>
      <c r="V267" s="25" t="s">
        <v>1332</v>
      </c>
      <c r="W267" s="29"/>
      <c r="X267" s="25" t="s">
        <v>47</v>
      </c>
      <c r="Y267" s="25" t="s">
        <v>48</v>
      </c>
      <c r="Z267" s="25" t="s">
        <v>92</v>
      </c>
      <c r="AA267" s="25" t="s">
        <v>72</v>
      </c>
      <c r="AB267" s="25" t="s">
        <v>165</v>
      </c>
      <c r="AC267" s="29"/>
      <c r="AD267" s="29"/>
      <c r="AE267" s="29"/>
      <c r="AF267" s="29"/>
      <c r="AG267" s="29"/>
      <c r="AH267" s="10" t="s">
        <v>52</v>
      </c>
      <c r="AI267" s="10"/>
      <c r="AJ267" s="10"/>
      <c r="AK267" s="10"/>
    </row>
    <row r="268" hidden="1">
      <c r="A268" s="10">
        <v>267.0</v>
      </c>
      <c r="B268" s="31">
        <v>45412.0</v>
      </c>
      <c r="C268" s="25">
        <v>0.0</v>
      </c>
      <c r="D268" s="12">
        <f t="shared" si="6"/>
        <v>0</v>
      </c>
      <c r="E268" s="25" t="s">
        <v>1192</v>
      </c>
      <c r="F268" s="29"/>
      <c r="G268" s="30"/>
      <c r="H268" s="45" t="s">
        <v>1333</v>
      </c>
      <c r="I268" s="27">
        <v>17.0</v>
      </c>
      <c r="J268" s="28"/>
      <c r="K268" s="22">
        <v>45432.0</v>
      </c>
      <c r="L268" s="23" t="s">
        <v>250</v>
      </c>
      <c r="M268" s="25" t="s">
        <v>1334</v>
      </c>
      <c r="N268" s="25" t="s">
        <v>1335</v>
      </c>
      <c r="O268" s="25">
        <v>2400005.0</v>
      </c>
      <c r="P268" s="25">
        <v>97123.0</v>
      </c>
      <c r="Q268" s="25" t="s">
        <v>1196</v>
      </c>
      <c r="R268" s="25" t="s">
        <v>603</v>
      </c>
      <c r="S268" s="25">
        <v>2550.0</v>
      </c>
      <c r="T268" s="25"/>
      <c r="U268" s="25" t="s">
        <v>1336</v>
      </c>
      <c r="V268" s="29"/>
      <c r="W268" s="25">
        <v>2.3130163865E10</v>
      </c>
      <c r="X268" s="25" t="s">
        <v>47</v>
      </c>
      <c r="Y268" s="25" t="s">
        <v>48</v>
      </c>
      <c r="Z268" s="25" t="s">
        <v>102</v>
      </c>
      <c r="AA268" s="25" t="s">
        <v>72</v>
      </c>
      <c r="AB268" s="25" t="s">
        <v>138</v>
      </c>
      <c r="AC268" s="29"/>
      <c r="AD268" s="29"/>
      <c r="AE268" s="29"/>
      <c r="AF268" s="29"/>
      <c r="AG268" s="29"/>
      <c r="AH268" s="10" t="s">
        <v>52</v>
      </c>
      <c r="AI268" s="10"/>
      <c r="AJ268" s="10"/>
      <c r="AK268" s="10"/>
    </row>
    <row r="269" hidden="1">
      <c r="A269" s="10">
        <v>268.0</v>
      </c>
      <c r="B269" s="40">
        <v>45401.0</v>
      </c>
      <c r="C269" s="25">
        <v>0.0</v>
      </c>
      <c r="D269" s="12">
        <f t="shared" si="6"/>
        <v>0</v>
      </c>
      <c r="E269" s="25" t="s">
        <v>1192</v>
      </c>
      <c r="F269" s="29"/>
      <c r="G269" s="30"/>
      <c r="H269" s="21" t="s">
        <v>1302</v>
      </c>
      <c r="I269" s="27">
        <v>5.0</v>
      </c>
      <c r="J269" s="28"/>
      <c r="K269" s="22">
        <v>45435.0</v>
      </c>
      <c r="L269" s="23" t="s">
        <v>180</v>
      </c>
      <c r="M269" s="25" t="s">
        <v>1337</v>
      </c>
      <c r="N269" s="25" t="s">
        <v>1338</v>
      </c>
      <c r="O269" s="29" t="s">
        <v>704</v>
      </c>
      <c r="P269" s="25">
        <v>102480.0</v>
      </c>
      <c r="Q269" s="12" t="s">
        <v>80</v>
      </c>
      <c r="R269" s="12" t="s">
        <v>183</v>
      </c>
      <c r="S269" s="25">
        <v>1825.0</v>
      </c>
      <c r="T269" s="25"/>
      <c r="U269" s="25" t="s">
        <v>1339</v>
      </c>
      <c r="V269" s="25" t="s">
        <v>1340</v>
      </c>
      <c r="W269" s="29"/>
      <c r="X269" s="25" t="s">
        <v>1023</v>
      </c>
      <c r="Y269" s="25" t="s">
        <v>48</v>
      </c>
      <c r="Z269" s="25" t="s">
        <v>102</v>
      </c>
      <c r="AA269" s="25" t="s">
        <v>72</v>
      </c>
      <c r="AB269" s="25" t="s">
        <v>1149</v>
      </c>
      <c r="AC269" s="29"/>
      <c r="AD269" s="29"/>
      <c r="AE269" s="29"/>
      <c r="AF269" s="29"/>
      <c r="AG269" s="29"/>
      <c r="AH269" s="10" t="s">
        <v>52</v>
      </c>
      <c r="AI269" s="10"/>
      <c r="AJ269" s="10"/>
      <c r="AK269" s="10"/>
    </row>
    <row r="270" hidden="1">
      <c r="A270" s="10">
        <v>269.0</v>
      </c>
      <c r="B270" s="40">
        <v>45395.0</v>
      </c>
      <c r="C270" s="25">
        <v>0.0</v>
      </c>
      <c r="D270" s="12">
        <f t="shared" si="6"/>
        <v>0</v>
      </c>
      <c r="E270" s="25" t="s">
        <v>1308</v>
      </c>
      <c r="F270" s="29"/>
      <c r="G270" s="30"/>
      <c r="H270" s="21" t="s">
        <v>1165</v>
      </c>
      <c r="I270" s="27">
        <v>1.0</v>
      </c>
      <c r="J270" s="28"/>
      <c r="K270" s="22">
        <v>45440.0</v>
      </c>
      <c r="L270" s="23" t="s">
        <v>168</v>
      </c>
      <c r="M270" s="25" t="s">
        <v>1341</v>
      </c>
      <c r="N270" s="25">
        <v>5240325.0</v>
      </c>
      <c r="O270" s="29" t="s">
        <v>1342</v>
      </c>
      <c r="P270" s="25">
        <v>48234.0</v>
      </c>
      <c r="Q270" s="12" t="s">
        <v>67</v>
      </c>
      <c r="R270" s="25" t="s">
        <v>111</v>
      </c>
      <c r="S270" s="25">
        <v>1875.0</v>
      </c>
      <c r="T270" s="25"/>
      <c r="U270" s="25" t="s">
        <v>1343</v>
      </c>
      <c r="V270" s="25" t="s">
        <v>1344</v>
      </c>
      <c r="W270" s="29"/>
      <c r="X270" s="25" t="s">
        <v>47</v>
      </c>
      <c r="Y270" s="25" t="s">
        <v>120</v>
      </c>
      <c r="Z270" s="25" t="s">
        <v>49</v>
      </c>
      <c r="AA270" s="25" t="s">
        <v>72</v>
      </c>
      <c r="AB270" s="25" t="s">
        <v>1187</v>
      </c>
      <c r="AC270" s="29"/>
      <c r="AD270" s="29"/>
      <c r="AE270" s="29"/>
      <c r="AF270" s="29"/>
      <c r="AG270" s="29"/>
      <c r="AH270" s="10" t="s">
        <v>52</v>
      </c>
      <c r="AI270" s="10"/>
      <c r="AJ270" s="10"/>
      <c r="AK270" s="10"/>
    </row>
    <row r="271" hidden="1">
      <c r="A271" s="10">
        <v>270.0</v>
      </c>
      <c r="B271" s="31">
        <v>45396.0</v>
      </c>
      <c r="C271" s="25">
        <v>0.0</v>
      </c>
      <c r="D271" s="12">
        <f t="shared" si="6"/>
        <v>0</v>
      </c>
      <c r="E271" s="25" t="s">
        <v>1308</v>
      </c>
      <c r="F271" s="29"/>
      <c r="G271" s="30"/>
      <c r="H271" s="45" t="s">
        <v>1165</v>
      </c>
      <c r="I271" s="27">
        <v>1.0</v>
      </c>
      <c r="J271" s="28"/>
      <c r="K271" s="22">
        <v>45446.0</v>
      </c>
      <c r="L271" s="23" t="s">
        <v>503</v>
      </c>
      <c r="M271" s="29"/>
      <c r="N271" s="25">
        <v>2.2420807E7</v>
      </c>
      <c r="O271" s="25" t="s">
        <v>1345</v>
      </c>
      <c r="P271" s="25">
        <v>56726.0</v>
      </c>
      <c r="Q271" s="12" t="s">
        <v>67</v>
      </c>
      <c r="R271" s="25" t="s">
        <v>416</v>
      </c>
      <c r="S271" s="32">
        <v>1950.0</v>
      </c>
      <c r="T271" s="25"/>
      <c r="U271" s="25" t="s">
        <v>1346</v>
      </c>
      <c r="V271" s="29"/>
      <c r="W271" s="29"/>
      <c r="X271" s="25" t="s">
        <v>1023</v>
      </c>
      <c r="Y271" s="25" t="s">
        <v>120</v>
      </c>
      <c r="Z271" s="25" t="s">
        <v>49</v>
      </c>
      <c r="AA271" s="25" t="s">
        <v>72</v>
      </c>
      <c r="AB271" s="25" t="s">
        <v>1149</v>
      </c>
      <c r="AC271" s="29"/>
      <c r="AD271" s="29"/>
      <c r="AE271" s="29"/>
      <c r="AF271" s="29"/>
      <c r="AG271" s="29"/>
      <c r="AH271" s="10" t="s">
        <v>52</v>
      </c>
      <c r="AI271" s="10"/>
      <c r="AJ271" s="10"/>
      <c r="AK271" s="10"/>
    </row>
    <row r="272" hidden="1">
      <c r="A272" s="10">
        <v>271.0</v>
      </c>
      <c r="B272" s="40">
        <v>45397.0</v>
      </c>
      <c r="C272" s="25">
        <v>0.0</v>
      </c>
      <c r="D272" s="12">
        <f t="shared" si="6"/>
        <v>0</v>
      </c>
      <c r="E272" s="12" t="s">
        <v>37</v>
      </c>
      <c r="F272" s="29"/>
      <c r="G272" s="30"/>
      <c r="H272" s="21" t="s">
        <v>1177</v>
      </c>
      <c r="I272" s="27">
        <v>1.0</v>
      </c>
      <c r="J272" s="28"/>
      <c r="K272" s="22">
        <v>45446.0</v>
      </c>
      <c r="L272" s="19" t="s">
        <v>53</v>
      </c>
      <c r="M272" s="25" t="s">
        <v>306</v>
      </c>
      <c r="N272" s="25" t="s">
        <v>1347</v>
      </c>
      <c r="O272" s="29"/>
      <c r="P272" s="25">
        <v>52339.0</v>
      </c>
      <c r="Q272" s="12" t="s">
        <v>67</v>
      </c>
      <c r="R272" s="25" t="s">
        <v>111</v>
      </c>
      <c r="S272" s="25">
        <v>3250.0</v>
      </c>
      <c r="T272" s="25"/>
      <c r="U272" s="25" t="s">
        <v>1348</v>
      </c>
      <c r="V272" s="25" t="s">
        <v>1349</v>
      </c>
      <c r="W272" s="29"/>
      <c r="X272" s="25" t="s">
        <v>47</v>
      </c>
      <c r="Y272" s="25" t="s">
        <v>48</v>
      </c>
      <c r="Z272" s="25" t="s">
        <v>49</v>
      </c>
      <c r="AA272" s="25" t="s">
        <v>72</v>
      </c>
      <c r="AB272" s="25" t="s">
        <v>1149</v>
      </c>
      <c r="AC272" s="29"/>
      <c r="AD272" s="29"/>
      <c r="AE272" s="29"/>
      <c r="AF272" s="29"/>
      <c r="AG272" s="29"/>
      <c r="AH272" s="10" t="s">
        <v>52</v>
      </c>
      <c r="AI272" s="10"/>
      <c r="AJ272" s="10"/>
      <c r="AK272" s="10"/>
    </row>
    <row r="273" hidden="1">
      <c r="A273" s="10">
        <v>272.0</v>
      </c>
      <c r="B273" s="40">
        <v>45398.0</v>
      </c>
      <c r="C273" s="25">
        <v>0.0</v>
      </c>
      <c r="D273" s="12">
        <f t="shared" si="6"/>
        <v>0</v>
      </c>
      <c r="E273" s="25" t="s">
        <v>1308</v>
      </c>
      <c r="F273" s="29"/>
      <c r="G273" s="30"/>
      <c r="H273" s="21" t="s">
        <v>1165</v>
      </c>
      <c r="I273" s="27">
        <v>6.0</v>
      </c>
      <c r="J273" s="28"/>
      <c r="K273" s="22">
        <v>45446.0</v>
      </c>
      <c r="L273" s="19" t="s">
        <v>38</v>
      </c>
      <c r="M273" s="25" t="s">
        <v>1350</v>
      </c>
      <c r="N273" s="25" t="s">
        <v>1351</v>
      </c>
      <c r="O273" s="29" t="s">
        <v>1352</v>
      </c>
      <c r="P273" s="25">
        <v>55130.0</v>
      </c>
      <c r="Q273" s="12" t="s">
        <v>42</v>
      </c>
      <c r="R273" s="12" t="s">
        <v>43</v>
      </c>
      <c r="S273" s="25">
        <v>3940.0</v>
      </c>
      <c r="T273" s="25"/>
      <c r="U273" s="25" t="s">
        <v>1353</v>
      </c>
      <c r="V273" s="25" t="s">
        <v>1354</v>
      </c>
      <c r="W273" s="29"/>
      <c r="X273" s="25" t="s">
        <v>1023</v>
      </c>
      <c r="Y273" s="25" t="s">
        <v>48</v>
      </c>
      <c r="Z273" s="25" t="s">
        <v>49</v>
      </c>
      <c r="AA273" s="25" t="s">
        <v>72</v>
      </c>
      <c r="AB273" s="25" t="s">
        <v>1090</v>
      </c>
      <c r="AC273" s="29"/>
      <c r="AD273" s="29"/>
      <c r="AE273" s="29"/>
      <c r="AF273" s="29"/>
      <c r="AG273" s="29"/>
      <c r="AH273" s="10" t="s">
        <v>52</v>
      </c>
      <c r="AI273" s="10"/>
      <c r="AJ273" s="10"/>
      <c r="AK273" s="10"/>
    </row>
    <row r="274" hidden="1">
      <c r="A274" s="10">
        <v>273.0</v>
      </c>
      <c r="B274" s="31">
        <v>45365.0</v>
      </c>
      <c r="C274" s="25">
        <v>0.0</v>
      </c>
      <c r="D274" s="12">
        <f t="shared" si="6"/>
        <v>0</v>
      </c>
      <c r="E274" s="12" t="s">
        <v>37</v>
      </c>
      <c r="F274" s="29"/>
      <c r="G274" s="30"/>
      <c r="H274" s="45" t="s">
        <v>1177</v>
      </c>
      <c r="I274" s="27">
        <v>1.0</v>
      </c>
      <c r="J274" s="28"/>
      <c r="K274" s="22">
        <v>45449.0</v>
      </c>
      <c r="L274" s="23" t="s">
        <v>1312</v>
      </c>
      <c r="M274" s="25" t="s">
        <v>1313</v>
      </c>
      <c r="N274" s="25" t="s">
        <v>1355</v>
      </c>
      <c r="O274" s="25" t="s">
        <v>66</v>
      </c>
      <c r="P274" s="29"/>
      <c r="Q274" s="12" t="s">
        <v>129</v>
      </c>
      <c r="R274" s="25" t="s">
        <v>1315</v>
      </c>
      <c r="S274" s="25" t="s">
        <v>165</v>
      </c>
      <c r="T274" s="25"/>
      <c r="U274" s="25" t="s">
        <v>1356</v>
      </c>
      <c r="V274" s="25" t="s">
        <v>1357</v>
      </c>
      <c r="W274" s="29"/>
      <c r="X274" s="25" t="s">
        <v>1023</v>
      </c>
      <c r="Y274" s="25" t="s">
        <v>48</v>
      </c>
      <c r="Z274" s="25" t="s">
        <v>524</v>
      </c>
      <c r="AA274" s="25" t="s">
        <v>970</v>
      </c>
      <c r="AB274" s="25" t="s">
        <v>294</v>
      </c>
      <c r="AC274" s="29"/>
      <c r="AD274" s="29"/>
      <c r="AE274" s="29"/>
      <c r="AF274" s="29"/>
      <c r="AG274" s="29"/>
      <c r="AH274" s="10" t="s">
        <v>52</v>
      </c>
      <c r="AI274" s="10"/>
      <c r="AJ274" s="10"/>
      <c r="AK274" s="10"/>
    </row>
    <row r="275" hidden="1">
      <c r="A275" s="10">
        <v>274.0</v>
      </c>
      <c r="B275" s="40">
        <v>45398.0</v>
      </c>
      <c r="C275" s="25">
        <v>0.0</v>
      </c>
      <c r="D275" s="12">
        <f t="shared" si="6"/>
        <v>0</v>
      </c>
      <c r="E275" s="25" t="s">
        <v>1308</v>
      </c>
      <c r="F275" s="29"/>
      <c r="G275" s="30"/>
      <c r="H275" s="21" t="s">
        <v>1165</v>
      </c>
      <c r="I275" s="27">
        <v>1.0</v>
      </c>
      <c r="J275" s="28"/>
      <c r="K275" s="22">
        <v>45451.0</v>
      </c>
      <c r="L275" s="19" t="s">
        <v>53</v>
      </c>
      <c r="M275" s="25" t="s">
        <v>1358</v>
      </c>
      <c r="N275" s="25" t="s">
        <v>1359</v>
      </c>
      <c r="O275" s="29" t="s">
        <v>1360</v>
      </c>
      <c r="P275" s="25">
        <v>57232.0</v>
      </c>
      <c r="Q275" s="12" t="s">
        <v>67</v>
      </c>
      <c r="R275" s="25" t="s">
        <v>111</v>
      </c>
      <c r="S275" s="25">
        <v>2800.0</v>
      </c>
      <c r="T275" s="25"/>
      <c r="U275" s="25" t="s">
        <v>1361</v>
      </c>
      <c r="V275" s="25" t="s">
        <v>1362</v>
      </c>
      <c r="W275" s="29"/>
      <c r="X275" s="25" t="s">
        <v>47</v>
      </c>
      <c r="Y275" s="25" t="s">
        <v>120</v>
      </c>
      <c r="Z275" s="25" t="s">
        <v>49</v>
      </c>
      <c r="AA275" s="25" t="s">
        <v>72</v>
      </c>
      <c r="AB275" s="25" t="s">
        <v>1149</v>
      </c>
      <c r="AC275" s="29"/>
      <c r="AD275" s="29"/>
      <c r="AE275" s="29"/>
      <c r="AF275" s="29"/>
      <c r="AG275" s="29"/>
      <c r="AH275" s="10" t="s">
        <v>52</v>
      </c>
      <c r="AI275" s="10"/>
      <c r="AJ275" s="10"/>
      <c r="AK275" s="10"/>
    </row>
    <row r="276" hidden="1">
      <c r="A276" s="10">
        <v>275.0</v>
      </c>
      <c r="B276" s="40">
        <v>45434.0</v>
      </c>
      <c r="C276" s="25">
        <v>0.0</v>
      </c>
      <c r="D276" s="12">
        <f t="shared" si="6"/>
        <v>0</v>
      </c>
      <c r="E276" s="12" t="s">
        <v>37</v>
      </c>
      <c r="F276" s="29"/>
      <c r="G276" s="30"/>
      <c r="H276" s="21" t="s">
        <v>1177</v>
      </c>
      <c r="I276" s="27">
        <v>2.0</v>
      </c>
      <c r="J276" s="28"/>
      <c r="K276" s="22">
        <v>45453.0</v>
      </c>
      <c r="L276" s="23" t="s">
        <v>475</v>
      </c>
      <c r="M276" s="25" t="s">
        <v>1363</v>
      </c>
      <c r="N276" s="25" t="s">
        <v>1364</v>
      </c>
      <c r="O276" s="29"/>
      <c r="P276" s="25">
        <v>113739.0</v>
      </c>
      <c r="Q276" s="25" t="s">
        <v>477</v>
      </c>
      <c r="R276" s="25" t="s">
        <v>478</v>
      </c>
      <c r="S276" s="25">
        <v>2100.0</v>
      </c>
      <c r="T276" s="25"/>
      <c r="U276" s="25" t="s">
        <v>1365</v>
      </c>
      <c r="V276" s="25"/>
      <c r="W276" s="29" t="s">
        <v>1366</v>
      </c>
      <c r="X276" s="25" t="s">
        <v>47</v>
      </c>
      <c r="Y276" s="25" t="s">
        <v>48</v>
      </c>
      <c r="Z276" s="25" t="s">
        <v>102</v>
      </c>
      <c r="AA276" s="25" t="s">
        <v>970</v>
      </c>
      <c r="AB276" s="25" t="s">
        <v>138</v>
      </c>
      <c r="AC276" s="29"/>
      <c r="AD276" s="29"/>
      <c r="AE276" s="29"/>
      <c r="AF276" s="29"/>
      <c r="AG276" s="29"/>
      <c r="AH276" s="10" t="s">
        <v>52</v>
      </c>
      <c r="AI276" s="10"/>
      <c r="AJ276" s="10"/>
      <c r="AK276" s="10"/>
    </row>
    <row r="277" hidden="1">
      <c r="A277" s="10">
        <v>276.0</v>
      </c>
      <c r="B277" s="40">
        <v>45394.0</v>
      </c>
      <c r="C277" s="25">
        <v>0.0</v>
      </c>
      <c r="D277" s="12">
        <f t="shared" si="6"/>
        <v>0</v>
      </c>
      <c r="E277" s="25" t="s">
        <v>1308</v>
      </c>
      <c r="F277" s="29"/>
      <c r="G277" s="30"/>
      <c r="H277" s="21" t="s">
        <v>1165</v>
      </c>
      <c r="I277" s="27">
        <v>2.0</v>
      </c>
      <c r="J277" s="28"/>
      <c r="K277" s="22">
        <v>45458.0</v>
      </c>
      <c r="L277" s="23" t="s">
        <v>95</v>
      </c>
      <c r="M277" s="25" t="s">
        <v>1367</v>
      </c>
      <c r="N277" s="25" t="s">
        <v>1368</v>
      </c>
      <c r="O277" s="29" t="s">
        <v>1369</v>
      </c>
      <c r="P277" s="25">
        <v>57019.0</v>
      </c>
      <c r="Q277" s="12" t="s">
        <v>42</v>
      </c>
      <c r="R277" s="25" t="s">
        <v>334</v>
      </c>
      <c r="S277" s="25">
        <v>2200.0</v>
      </c>
      <c r="T277" s="25"/>
      <c r="U277" s="25" t="s">
        <v>1370</v>
      </c>
      <c r="V277" s="25" t="s">
        <v>1371</v>
      </c>
      <c r="W277" s="29"/>
      <c r="X277" s="25" t="s">
        <v>1023</v>
      </c>
      <c r="Y277" s="25" t="s">
        <v>48</v>
      </c>
      <c r="Z277" s="25" t="s">
        <v>49</v>
      </c>
      <c r="AA277" s="25" t="s">
        <v>72</v>
      </c>
      <c r="AB277" s="25"/>
      <c r="AC277" s="29"/>
      <c r="AD277" s="29"/>
      <c r="AE277" s="29"/>
      <c r="AF277" s="29"/>
      <c r="AG277" s="29"/>
      <c r="AH277" s="10" t="s">
        <v>52</v>
      </c>
      <c r="AI277" s="10"/>
      <c r="AJ277" s="10"/>
      <c r="AK277" s="10"/>
    </row>
    <row r="278" hidden="1">
      <c r="A278" s="10">
        <v>277.0</v>
      </c>
      <c r="B278" s="46">
        <v>45422.0</v>
      </c>
      <c r="C278" s="25">
        <v>0.0</v>
      </c>
      <c r="D278" s="12">
        <f t="shared" si="6"/>
        <v>0</v>
      </c>
      <c r="E278" s="25" t="s">
        <v>1308</v>
      </c>
      <c r="F278" s="29"/>
      <c r="G278" s="30"/>
      <c r="H278" s="45" t="s">
        <v>1165</v>
      </c>
      <c r="I278" s="27">
        <v>1.0</v>
      </c>
      <c r="J278" s="28"/>
      <c r="K278" s="22">
        <v>45463.0</v>
      </c>
      <c r="L278" s="23" t="s">
        <v>168</v>
      </c>
      <c r="M278" s="25" t="s">
        <v>1372</v>
      </c>
      <c r="N278" s="25">
        <v>5240369.0</v>
      </c>
      <c r="O278" s="25" t="s">
        <v>1373</v>
      </c>
      <c r="P278" s="25">
        <v>122204.0</v>
      </c>
      <c r="Q278" s="25" t="s">
        <v>171</v>
      </c>
      <c r="R278" s="25" t="s">
        <v>172</v>
      </c>
      <c r="S278" s="32">
        <v>2480.0</v>
      </c>
      <c r="T278" s="25"/>
      <c r="U278" s="25" t="s">
        <v>1374</v>
      </c>
      <c r="V278" s="25" t="s">
        <v>1375</v>
      </c>
      <c r="W278" s="29"/>
      <c r="X278" s="25" t="s">
        <v>47</v>
      </c>
      <c r="Y278" s="25" t="s">
        <v>48</v>
      </c>
      <c r="Z278" s="25" t="s">
        <v>102</v>
      </c>
      <c r="AA278" s="25" t="s">
        <v>72</v>
      </c>
      <c r="AB278" s="25" t="s">
        <v>1183</v>
      </c>
      <c r="AC278" s="29"/>
      <c r="AD278" s="29"/>
      <c r="AE278" s="29"/>
      <c r="AF278" s="29"/>
      <c r="AG278" s="29"/>
      <c r="AH278" s="10" t="s">
        <v>52</v>
      </c>
      <c r="AI278" s="10"/>
      <c r="AJ278" s="10"/>
      <c r="AK278" s="10"/>
    </row>
    <row r="279" hidden="1">
      <c r="A279" s="10">
        <v>278.0</v>
      </c>
      <c r="B279" s="31">
        <v>45399.0</v>
      </c>
      <c r="C279" s="25">
        <v>0.0</v>
      </c>
      <c r="D279" s="12">
        <f t="shared" si="6"/>
        <v>0</v>
      </c>
      <c r="E279" s="25" t="s">
        <v>1308</v>
      </c>
      <c r="F279" s="29"/>
      <c r="G279" s="30"/>
      <c r="H279" s="65" t="s">
        <v>1165</v>
      </c>
      <c r="I279" s="70">
        <v>1.0</v>
      </c>
      <c r="J279" s="71"/>
      <c r="K279" s="22">
        <v>45465.0</v>
      </c>
      <c r="L279" s="23" t="s">
        <v>86</v>
      </c>
      <c r="M279" s="29"/>
      <c r="N279" s="25">
        <v>900647.0</v>
      </c>
      <c r="O279" s="25" t="s">
        <v>1200</v>
      </c>
      <c r="P279" s="25">
        <v>61360.0</v>
      </c>
      <c r="Q279" s="12" t="s">
        <v>42</v>
      </c>
      <c r="R279" s="25" t="s">
        <v>334</v>
      </c>
      <c r="S279" s="32">
        <v>2200.0</v>
      </c>
      <c r="T279" s="25"/>
      <c r="U279" s="25" t="s">
        <v>1376</v>
      </c>
      <c r="V279" s="25" t="s">
        <v>1377</v>
      </c>
      <c r="W279" s="25" t="s">
        <v>1378</v>
      </c>
      <c r="X279" s="25" t="s">
        <v>47</v>
      </c>
      <c r="Y279" s="25" t="s">
        <v>48</v>
      </c>
      <c r="Z279" s="25" t="s">
        <v>49</v>
      </c>
      <c r="AA279" s="25" t="s">
        <v>72</v>
      </c>
      <c r="AB279" s="25" t="s">
        <v>1149</v>
      </c>
      <c r="AC279" s="29"/>
      <c r="AD279" s="29"/>
      <c r="AE279" s="29"/>
      <c r="AF279" s="29"/>
      <c r="AG279" s="29"/>
      <c r="AH279" s="10" t="s">
        <v>52</v>
      </c>
      <c r="AI279" s="10"/>
      <c r="AJ279" s="10"/>
      <c r="AK279" s="10"/>
    </row>
    <row r="280" hidden="1">
      <c r="A280" s="10">
        <v>279.0</v>
      </c>
      <c r="B280" s="40">
        <v>45381.0</v>
      </c>
      <c r="C280" s="25">
        <v>0.0</v>
      </c>
      <c r="D280" s="12">
        <f t="shared" si="6"/>
        <v>0</v>
      </c>
      <c r="E280" s="12" t="s">
        <v>37</v>
      </c>
      <c r="F280" s="29"/>
      <c r="G280" s="30"/>
      <c r="H280" s="21"/>
      <c r="I280" s="27">
        <v>1.0</v>
      </c>
      <c r="J280" s="28"/>
      <c r="K280" s="22">
        <v>45466.0</v>
      </c>
      <c r="L280" s="23" t="s">
        <v>475</v>
      </c>
      <c r="M280" s="25" t="s">
        <v>1379</v>
      </c>
      <c r="N280" s="25" t="s">
        <v>1380</v>
      </c>
      <c r="O280" s="29" t="s">
        <v>1381</v>
      </c>
      <c r="P280" s="25">
        <v>70478.0</v>
      </c>
      <c r="Q280" s="25" t="s">
        <v>477</v>
      </c>
      <c r="R280" s="25" t="s">
        <v>478</v>
      </c>
      <c r="S280" s="25">
        <v>2890.0</v>
      </c>
      <c r="T280" s="25"/>
      <c r="U280" s="25" t="s">
        <v>1382</v>
      </c>
      <c r="V280" s="25" t="s">
        <v>1383</v>
      </c>
      <c r="W280" s="29"/>
      <c r="X280" s="25" t="s">
        <v>1023</v>
      </c>
      <c r="Y280" s="25" t="s">
        <v>48</v>
      </c>
      <c r="Z280" s="25" t="s">
        <v>102</v>
      </c>
      <c r="AA280" s="25" t="s">
        <v>72</v>
      </c>
      <c r="AB280" s="25" t="s">
        <v>138</v>
      </c>
      <c r="AC280" s="29"/>
      <c r="AD280" s="29"/>
      <c r="AE280" s="29"/>
      <c r="AF280" s="29"/>
      <c r="AG280" s="29"/>
      <c r="AH280" s="10" t="s">
        <v>52</v>
      </c>
      <c r="AI280" s="10"/>
      <c r="AJ280" s="10"/>
      <c r="AK280" s="10"/>
    </row>
    <row r="281" hidden="1">
      <c r="A281" s="10">
        <v>280.0</v>
      </c>
      <c r="B281" s="31">
        <v>45369.0</v>
      </c>
      <c r="C281" s="25">
        <v>0.0</v>
      </c>
      <c r="D281" s="12">
        <f t="shared" si="6"/>
        <v>0</v>
      </c>
      <c r="E281" s="12" t="s">
        <v>37</v>
      </c>
      <c r="F281" s="29"/>
      <c r="G281" s="30"/>
      <c r="H281" s="65" t="s">
        <v>1177</v>
      </c>
      <c r="I281" s="70">
        <v>2.0</v>
      </c>
      <c r="J281" s="71"/>
      <c r="K281" s="22">
        <v>45467.0</v>
      </c>
      <c r="L281" s="23" t="s">
        <v>1312</v>
      </c>
      <c r="M281" s="25" t="s">
        <v>1313</v>
      </c>
      <c r="N281" s="25" t="s">
        <v>1384</v>
      </c>
      <c r="O281" s="25" t="s">
        <v>66</v>
      </c>
      <c r="P281" s="25">
        <v>62273.0</v>
      </c>
      <c r="Q281" s="12" t="s">
        <v>129</v>
      </c>
      <c r="R281" s="25" t="s">
        <v>1315</v>
      </c>
      <c r="S281" s="25" t="s">
        <v>165</v>
      </c>
      <c r="T281" s="25"/>
      <c r="U281" s="25" t="s">
        <v>1385</v>
      </c>
      <c r="V281" s="25" t="s">
        <v>1386</v>
      </c>
      <c r="W281" s="29"/>
      <c r="X281" s="25" t="s">
        <v>1023</v>
      </c>
      <c r="Y281" s="25" t="s">
        <v>1387</v>
      </c>
      <c r="Z281" s="25" t="s">
        <v>524</v>
      </c>
      <c r="AA281" s="25" t="s">
        <v>970</v>
      </c>
      <c r="AB281" s="25" t="s">
        <v>294</v>
      </c>
      <c r="AC281" s="29"/>
      <c r="AD281" s="29"/>
      <c r="AE281" s="29"/>
      <c r="AF281" s="29"/>
      <c r="AG281" s="29"/>
      <c r="AH281" s="10" t="s">
        <v>52</v>
      </c>
      <c r="AI281" s="10"/>
      <c r="AJ281" s="10"/>
      <c r="AK281" s="10"/>
    </row>
    <row r="282" hidden="1">
      <c r="A282" s="10">
        <v>281.0</v>
      </c>
      <c r="B282" s="72">
        <v>45436.0</v>
      </c>
      <c r="C282" s="25">
        <v>0.0</v>
      </c>
      <c r="D282" s="12">
        <f t="shared" si="6"/>
        <v>0</v>
      </c>
      <c r="E282" s="25" t="s">
        <v>1308</v>
      </c>
      <c r="F282" s="29"/>
      <c r="G282" s="30"/>
      <c r="H282" s="65" t="s">
        <v>1165</v>
      </c>
      <c r="I282" s="70">
        <v>1.0</v>
      </c>
      <c r="J282" s="71"/>
      <c r="K282" s="22">
        <v>45469.0</v>
      </c>
      <c r="L282" s="19" t="s">
        <v>53</v>
      </c>
      <c r="M282" s="25" t="s">
        <v>1388</v>
      </c>
      <c r="N282" s="25" t="s">
        <v>1389</v>
      </c>
      <c r="O282" s="25" t="s">
        <v>1390</v>
      </c>
      <c r="P282" s="25">
        <v>128973.0</v>
      </c>
      <c r="Q282" s="25" t="s">
        <v>160</v>
      </c>
      <c r="R282" s="25" t="s">
        <v>491</v>
      </c>
      <c r="S282" s="25">
        <v>3207.0</v>
      </c>
      <c r="T282" s="25"/>
      <c r="U282" s="25" t="s">
        <v>1391</v>
      </c>
      <c r="V282" s="25" t="s">
        <v>1392</v>
      </c>
      <c r="W282" s="29"/>
      <c r="X282" s="25" t="s">
        <v>47</v>
      </c>
      <c r="Y282" s="25" t="s">
        <v>48</v>
      </c>
      <c r="Z282" s="25" t="s">
        <v>102</v>
      </c>
      <c r="AA282" s="25" t="s">
        <v>970</v>
      </c>
      <c r="AB282" s="25" t="s">
        <v>1393</v>
      </c>
      <c r="AC282" s="29"/>
      <c r="AD282" s="29"/>
      <c r="AE282" s="29"/>
      <c r="AF282" s="29"/>
      <c r="AG282" s="29"/>
      <c r="AH282" s="10" t="s">
        <v>52</v>
      </c>
      <c r="AI282" s="10"/>
      <c r="AJ282" s="10"/>
      <c r="AK282" s="10"/>
    </row>
    <row r="283" hidden="1">
      <c r="A283" s="10">
        <v>282.0</v>
      </c>
      <c r="B283" s="31">
        <v>45398.0</v>
      </c>
      <c r="C283" s="25">
        <v>0.0</v>
      </c>
      <c r="D283" s="12">
        <f t="shared" si="6"/>
        <v>0</v>
      </c>
      <c r="E283" s="25" t="s">
        <v>1308</v>
      </c>
      <c r="F283" s="29"/>
      <c r="G283" s="30"/>
      <c r="H283" s="45" t="s">
        <v>1165</v>
      </c>
      <c r="I283" s="27">
        <v>2.0</v>
      </c>
      <c r="J283" s="28"/>
      <c r="K283" s="22">
        <v>45470.0</v>
      </c>
      <c r="L283" s="19" t="s">
        <v>38</v>
      </c>
      <c r="M283" s="25" t="s">
        <v>1394</v>
      </c>
      <c r="N283" s="25" t="s">
        <v>1395</v>
      </c>
      <c r="O283" s="25" t="s">
        <v>1116</v>
      </c>
      <c r="P283" s="25">
        <v>62274.0</v>
      </c>
      <c r="Q283" s="12" t="s">
        <v>42</v>
      </c>
      <c r="R283" s="12" t="s">
        <v>43</v>
      </c>
      <c r="S283" s="32">
        <v>3940.0</v>
      </c>
      <c r="T283" s="25"/>
      <c r="U283" s="25" t="s">
        <v>1396</v>
      </c>
      <c r="V283" s="25" t="s">
        <v>1397</v>
      </c>
      <c r="W283" s="29"/>
      <c r="X283" s="25" t="s">
        <v>1023</v>
      </c>
      <c r="Y283" s="25" t="s">
        <v>48</v>
      </c>
      <c r="Z283" s="25" t="s">
        <v>49</v>
      </c>
      <c r="AA283" s="25" t="s">
        <v>50</v>
      </c>
      <c r="AB283" s="25" t="s">
        <v>1090</v>
      </c>
      <c r="AC283" s="29"/>
      <c r="AD283" s="29"/>
      <c r="AE283" s="29"/>
      <c r="AF283" s="29"/>
      <c r="AG283" s="29"/>
      <c r="AH283" s="10" t="s">
        <v>52</v>
      </c>
      <c r="AI283" s="10"/>
      <c r="AJ283" s="10"/>
      <c r="AK283" s="10"/>
    </row>
    <row r="284" hidden="1">
      <c r="A284" s="10">
        <v>283.0</v>
      </c>
      <c r="B284" s="31">
        <v>45413.0</v>
      </c>
      <c r="C284" s="25">
        <v>0.0</v>
      </c>
      <c r="D284" s="12">
        <f t="shared" si="6"/>
        <v>0</v>
      </c>
      <c r="E284" s="25" t="s">
        <v>1308</v>
      </c>
      <c r="F284" s="29"/>
      <c r="G284" s="30"/>
      <c r="H284" s="45" t="s">
        <v>1165</v>
      </c>
      <c r="I284" s="27">
        <v>2.0</v>
      </c>
      <c r="J284" s="28"/>
      <c r="K284" s="22">
        <v>45470.0</v>
      </c>
      <c r="L284" s="19" t="s">
        <v>38</v>
      </c>
      <c r="M284" s="25" t="s">
        <v>1398</v>
      </c>
      <c r="N284" s="25" t="s">
        <v>1399</v>
      </c>
      <c r="O284" s="25" t="s">
        <v>1400</v>
      </c>
      <c r="P284" s="25">
        <v>63971.0</v>
      </c>
      <c r="Q284" s="12" t="s">
        <v>42</v>
      </c>
      <c r="R284" s="12" t="s">
        <v>43</v>
      </c>
      <c r="S284" s="32">
        <v>3940.0</v>
      </c>
      <c r="T284" s="25"/>
      <c r="U284" s="25" t="s">
        <v>1401</v>
      </c>
      <c r="V284" s="25" t="s">
        <v>1402</v>
      </c>
      <c r="W284" s="29"/>
      <c r="X284" s="25" t="s">
        <v>1023</v>
      </c>
      <c r="Y284" s="25" t="s">
        <v>48</v>
      </c>
      <c r="Z284" s="25" t="s">
        <v>49</v>
      </c>
      <c r="AA284" s="25" t="s">
        <v>50</v>
      </c>
      <c r="AB284" s="25" t="s">
        <v>1090</v>
      </c>
      <c r="AC284" s="29"/>
      <c r="AD284" s="29"/>
      <c r="AE284" s="29"/>
      <c r="AF284" s="29"/>
      <c r="AG284" s="29"/>
      <c r="AH284" s="10" t="s">
        <v>52</v>
      </c>
      <c r="AI284" s="10"/>
      <c r="AJ284" s="10"/>
      <c r="AK284" s="10"/>
    </row>
    <row r="285" hidden="1">
      <c r="A285" s="10">
        <v>284.0</v>
      </c>
      <c r="B285" s="46">
        <v>45443.0</v>
      </c>
      <c r="C285" s="25">
        <v>0.0</v>
      </c>
      <c r="D285" s="12">
        <f t="shared" si="6"/>
        <v>0</v>
      </c>
      <c r="E285" s="25" t="s">
        <v>1308</v>
      </c>
      <c r="F285" s="29"/>
      <c r="G285" s="30"/>
      <c r="H285" s="65" t="s">
        <v>1165</v>
      </c>
      <c r="I285" s="70">
        <v>1.0</v>
      </c>
      <c r="J285" s="71"/>
      <c r="K285" s="22">
        <v>45472.0</v>
      </c>
      <c r="L285" s="47" t="s">
        <v>727</v>
      </c>
      <c r="M285" s="25" t="s">
        <v>1403</v>
      </c>
      <c r="N285" s="25">
        <v>169034.0</v>
      </c>
      <c r="O285" s="25" t="s">
        <v>1404</v>
      </c>
      <c r="P285" s="25">
        <v>129892.0</v>
      </c>
      <c r="Q285" s="25" t="s">
        <v>1405</v>
      </c>
      <c r="R285" s="25" t="s">
        <v>1406</v>
      </c>
      <c r="S285" s="73" t="s">
        <v>1407</v>
      </c>
      <c r="T285" s="25"/>
      <c r="U285" s="25" t="s">
        <v>1408</v>
      </c>
      <c r="V285" s="25" t="s">
        <v>1409</v>
      </c>
      <c r="W285" s="29"/>
      <c r="X285" s="25" t="s">
        <v>47</v>
      </c>
      <c r="Y285" s="25" t="s">
        <v>48</v>
      </c>
      <c r="Z285" s="25" t="s">
        <v>102</v>
      </c>
      <c r="AA285" s="25" t="s">
        <v>72</v>
      </c>
      <c r="AB285" s="25" t="s">
        <v>1410</v>
      </c>
      <c r="AC285" s="29"/>
      <c r="AD285" s="29"/>
      <c r="AE285" s="29"/>
      <c r="AF285" s="29"/>
      <c r="AG285" s="29"/>
      <c r="AH285" s="10" t="s">
        <v>52</v>
      </c>
      <c r="AI285" s="10"/>
      <c r="AJ285" s="10"/>
      <c r="AK285" s="10"/>
    </row>
    <row r="286" hidden="1">
      <c r="A286" s="10">
        <v>285.0</v>
      </c>
      <c r="B286" s="46">
        <v>45456.0</v>
      </c>
      <c r="C286" s="25">
        <v>0.0</v>
      </c>
      <c r="D286" s="12">
        <v>0.0</v>
      </c>
      <c r="E286" s="25" t="s">
        <v>1308</v>
      </c>
      <c r="F286" s="29"/>
      <c r="G286" s="30"/>
      <c r="H286" s="65" t="s">
        <v>1165</v>
      </c>
      <c r="I286" s="70">
        <v>1.0</v>
      </c>
      <c r="J286" s="71"/>
      <c r="K286" s="22">
        <v>45477.0</v>
      </c>
      <c r="L286" s="19" t="s">
        <v>270</v>
      </c>
      <c r="M286" s="25" t="s">
        <v>1411</v>
      </c>
      <c r="N286" s="25">
        <v>5.70280013E8</v>
      </c>
      <c r="O286" s="25" t="s">
        <v>1412</v>
      </c>
      <c r="P286" s="25">
        <v>134510.0</v>
      </c>
      <c r="Q286" s="25" t="s">
        <v>171</v>
      </c>
      <c r="R286" s="25" t="s">
        <v>1273</v>
      </c>
      <c r="S286" s="32">
        <v>2455.0</v>
      </c>
      <c r="T286" s="25"/>
      <c r="U286" s="25" t="s">
        <v>1413</v>
      </c>
      <c r="V286" s="25" t="s">
        <v>1414</v>
      </c>
      <c r="W286" s="29"/>
      <c r="X286" s="25" t="s">
        <v>47</v>
      </c>
      <c r="Y286" s="25" t="s">
        <v>48</v>
      </c>
      <c r="Z286" s="25" t="s">
        <v>102</v>
      </c>
      <c r="AA286" s="25" t="s">
        <v>72</v>
      </c>
      <c r="AB286" s="25" t="s">
        <v>1183</v>
      </c>
      <c r="AC286" s="29"/>
      <c r="AD286" s="29"/>
      <c r="AE286" s="29"/>
      <c r="AF286" s="29"/>
      <c r="AG286" s="29"/>
      <c r="AH286" s="10" t="s">
        <v>52</v>
      </c>
      <c r="AI286" s="10"/>
      <c r="AJ286" s="10"/>
      <c r="AK286" s="10"/>
    </row>
    <row r="287" hidden="1">
      <c r="A287" s="10">
        <v>286.0</v>
      </c>
      <c r="B287" s="46">
        <v>45454.0</v>
      </c>
      <c r="C287" s="25">
        <v>0.0</v>
      </c>
      <c r="D287" s="12">
        <f t="shared" ref="D287:D288" si="7">IF(C287-TODAY()&gt;0,C287-TODAY(),0)</f>
        <v>0</v>
      </c>
      <c r="E287" s="25" t="s">
        <v>1308</v>
      </c>
      <c r="F287" s="29"/>
      <c r="G287" s="30"/>
      <c r="H287" s="65" t="s">
        <v>1415</v>
      </c>
      <c r="I287" s="70">
        <v>28.0</v>
      </c>
      <c r="J287" s="71" t="s">
        <v>91</v>
      </c>
      <c r="K287" s="22">
        <v>45479.0</v>
      </c>
      <c r="L287" s="23" t="s">
        <v>555</v>
      </c>
      <c r="M287" s="25" t="s">
        <v>1416</v>
      </c>
      <c r="N287" s="25" t="s">
        <v>1417</v>
      </c>
      <c r="O287" s="29"/>
      <c r="P287" s="25">
        <v>127815.0</v>
      </c>
      <c r="Q287" s="25" t="s">
        <v>477</v>
      </c>
      <c r="R287" s="25" t="s">
        <v>559</v>
      </c>
      <c r="S287" s="25">
        <v>2250.0</v>
      </c>
      <c r="T287" s="25"/>
      <c r="U287" s="25" t="s">
        <v>1418</v>
      </c>
      <c r="V287" s="29"/>
      <c r="W287" s="25" t="s">
        <v>1419</v>
      </c>
      <c r="X287" s="25" t="s">
        <v>47</v>
      </c>
      <c r="Y287" s="25" t="s">
        <v>48</v>
      </c>
      <c r="Z287" s="25" t="s">
        <v>102</v>
      </c>
      <c r="AA287" s="25" t="s">
        <v>72</v>
      </c>
      <c r="AB287" s="25" t="s">
        <v>1149</v>
      </c>
      <c r="AC287" s="29"/>
      <c r="AD287" s="29"/>
      <c r="AE287" s="29"/>
      <c r="AF287" s="29"/>
      <c r="AG287" s="29"/>
      <c r="AH287" s="10" t="s">
        <v>52</v>
      </c>
      <c r="AI287" s="10"/>
      <c r="AJ287" s="10"/>
      <c r="AK287" s="10"/>
    </row>
    <row r="288" hidden="1">
      <c r="A288" s="10">
        <v>287.0</v>
      </c>
      <c r="B288" s="46">
        <v>45433.0</v>
      </c>
      <c r="C288" s="25">
        <v>0.0</v>
      </c>
      <c r="D288" s="12">
        <f t="shared" si="7"/>
        <v>0</v>
      </c>
      <c r="E288" s="25" t="s">
        <v>1308</v>
      </c>
      <c r="F288" s="29"/>
      <c r="G288" s="30"/>
      <c r="H288" s="45" t="s">
        <v>1165</v>
      </c>
      <c r="I288" s="27">
        <v>2.0</v>
      </c>
      <c r="J288" s="28" t="s">
        <v>1420</v>
      </c>
      <c r="K288" s="22">
        <v>45484.0</v>
      </c>
      <c r="L288" s="19" t="s">
        <v>38</v>
      </c>
      <c r="M288" s="25" t="s">
        <v>1098</v>
      </c>
      <c r="N288" s="25" t="s">
        <v>1421</v>
      </c>
      <c r="O288" s="25" t="s">
        <v>1422</v>
      </c>
      <c r="P288" s="29"/>
      <c r="Q288" s="12" t="s">
        <v>42</v>
      </c>
      <c r="R288" s="12" t="s">
        <v>43</v>
      </c>
      <c r="S288" s="25">
        <v>3940.0</v>
      </c>
      <c r="T288" s="25"/>
      <c r="U288" s="25" t="s">
        <v>1423</v>
      </c>
      <c r="V288" s="25" t="s">
        <v>1424</v>
      </c>
      <c r="W288" s="29"/>
      <c r="X288" s="25" t="s">
        <v>47</v>
      </c>
      <c r="Y288" s="25" t="s">
        <v>48</v>
      </c>
      <c r="Z288" s="25" t="s">
        <v>49</v>
      </c>
      <c r="AA288" s="25" t="s">
        <v>72</v>
      </c>
      <c r="AB288" s="25" t="s">
        <v>1090</v>
      </c>
      <c r="AC288" s="29"/>
      <c r="AD288" s="29"/>
      <c r="AE288" s="29"/>
      <c r="AF288" s="29"/>
      <c r="AG288" s="29"/>
      <c r="AH288" s="10" t="s">
        <v>52</v>
      </c>
      <c r="AI288" s="10"/>
      <c r="AJ288" s="10"/>
      <c r="AK288" s="10"/>
    </row>
    <row r="289" hidden="1">
      <c r="A289" s="10">
        <v>288.0</v>
      </c>
      <c r="B289" s="31">
        <v>45402.0</v>
      </c>
      <c r="C289" s="25">
        <v>0.0</v>
      </c>
      <c r="D289" s="12">
        <v>0.0</v>
      </c>
      <c r="E289" s="25" t="s">
        <v>1308</v>
      </c>
      <c r="F289" s="29"/>
      <c r="G289" s="30"/>
      <c r="H289" s="45" t="s">
        <v>1165</v>
      </c>
      <c r="I289" s="27">
        <v>1.0</v>
      </c>
      <c r="J289" s="28" t="s">
        <v>1420</v>
      </c>
      <c r="K289" s="22">
        <v>45487.0</v>
      </c>
      <c r="L289" s="19" t="s">
        <v>38</v>
      </c>
      <c r="M289" s="25" t="s">
        <v>1425</v>
      </c>
      <c r="N289" s="25" t="s">
        <v>1426</v>
      </c>
      <c r="O289" s="25" t="s">
        <v>1427</v>
      </c>
      <c r="P289" s="25">
        <v>72352.0</v>
      </c>
      <c r="Q289" s="12" t="s">
        <v>67</v>
      </c>
      <c r="R289" s="12" t="s">
        <v>116</v>
      </c>
      <c r="S289" s="32">
        <v>2650.0</v>
      </c>
      <c r="T289" s="25"/>
      <c r="U289" s="25" t="s">
        <v>1428</v>
      </c>
      <c r="V289" s="25" t="s">
        <v>1429</v>
      </c>
      <c r="W289" s="29"/>
      <c r="X289" s="25" t="s">
        <v>47</v>
      </c>
      <c r="Y289" s="25" t="s">
        <v>120</v>
      </c>
      <c r="Z289" s="25" t="s">
        <v>49</v>
      </c>
      <c r="AA289" s="25" t="s">
        <v>72</v>
      </c>
      <c r="AB289" s="25" t="s">
        <v>1183</v>
      </c>
      <c r="AC289" s="29"/>
      <c r="AD289" s="29"/>
      <c r="AE289" s="25"/>
      <c r="AF289" s="25" t="s">
        <v>828</v>
      </c>
      <c r="AG289" s="29"/>
      <c r="AH289" s="10" t="s">
        <v>52</v>
      </c>
      <c r="AI289" s="10"/>
      <c r="AJ289" s="10"/>
      <c r="AK289" s="10"/>
    </row>
    <row r="290" hidden="1">
      <c r="A290" s="10">
        <v>289.0</v>
      </c>
      <c r="B290" s="46">
        <v>45460.0</v>
      </c>
      <c r="C290" s="25">
        <v>0.0</v>
      </c>
      <c r="D290" s="12">
        <f>IF(C290-TODAY()&gt;0,C290-TODAY(),0)</f>
        <v>0</v>
      </c>
      <c r="E290" s="25" t="s">
        <v>1308</v>
      </c>
      <c r="F290" s="29"/>
      <c r="G290" s="30"/>
      <c r="H290" s="45" t="s">
        <v>1165</v>
      </c>
      <c r="I290" s="27">
        <v>4.0</v>
      </c>
      <c r="J290" s="28" t="s">
        <v>91</v>
      </c>
      <c r="K290" s="22">
        <v>45488.0</v>
      </c>
      <c r="L290" s="23" t="s">
        <v>145</v>
      </c>
      <c r="M290" s="25" t="s">
        <v>1430</v>
      </c>
      <c r="N290" s="25" t="s">
        <v>1431</v>
      </c>
      <c r="O290" s="25" t="s">
        <v>1432</v>
      </c>
      <c r="P290" s="25">
        <v>142137.0</v>
      </c>
      <c r="Q290" s="25" t="s">
        <v>148</v>
      </c>
      <c r="R290" s="25" t="s">
        <v>149</v>
      </c>
      <c r="S290" s="32">
        <v>1720.0</v>
      </c>
      <c r="T290" s="25"/>
      <c r="U290" s="25" t="s">
        <v>1433</v>
      </c>
      <c r="V290" s="25" t="s">
        <v>1434</v>
      </c>
      <c r="W290" s="29"/>
      <c r="X290" s="25" t="s">
        <v>47</v>
      </c>
      <c r="Y290" s="25" t="s">
        <v>48</v>
      </c>
      <c r="Z290" s="25" t="s">
        <v>49</v>
      </c>
      <c r="AA290" s="25" t="s">
        <v>1435</v>
      </c>
      <c r="AB290" s="25" t="s">
        <v>1183</v>
      </c>
      <c r="AC290" s="29"/>
      <c r="AD290" s="29"/>
      <c r="AE290" s="29"/>
      <c r="AF290" s="29"/>
      <c r="AG290" s="29"/>
      <c r="AH290" s="10" t="s">
        <v>52</v>
      </c>
      <c r="AI290" s="10"/>
      <c r="AJ290" s="10"/>
      <c r="AK290" s="10"/>
    </row>
    <row r="291" hidden="1">
      <c r="A291" s="10">
        <v>290.0</v>
      </c>
      <c r="B291" s="46">
        <v>45468.0</v>
      </c>
      <c r="C291" s="25">
        <v>0.0</v>
      </c>
      <c r="D291" s="12">
        <v>0.0</v>
      </c>
      <c r="E291" s="25" t="s">
        <v>1308</v>
      </c>
      <c r="F291" s="29"/>
      <c r="G291" s="30"/>
      <c r="H291" s="45" t="s">
        <v>1165</v>
      </c>
      <c r="I291" s="27">
        <v>6.0</v>
      </c>
      <c r="J291" s="28" t="s">
        <v>91</v>
      </c>
      <c r="K291" s="22">
        <v>45491.0</v>
      </c>
      <c r="L291" s="19" t="s">
        <v>270</v>
      </c>
      <c r="M291" s="25" t="s">
        <v>1436</v>
      </c>
      <c r="N291" s="25" t="s">
        <v>1437</v>
      </c>
      <c r="O291" s="25" t="s">
        <v>1438</v>
      </c>
      <c r="P291" s="25">
        <v>146959.0</v>
      </c>
      <c r="Q291" s="12" t="s">
        <v>274</v>
      </c>
      <c r="R291" s="25" t="s">
        <v>275</v>
      </c>
      <c r="S291" s="32">
        <v>3000.0</v>
      </c>
      <c r="T291" s="25"/>
      <c r="U291" s="25" t="s">
        <v>1439</v>
      </c>
      <c r="V291" s="25" t="s">
        <v>1440</v>
      </c>
      <c r="W291" s="29"/>
      <c r="X291" s="25" t="s">
        <v>47</v>
      </c>
      <c r="Y291" s="25" t="s">
        <v>48</v>
      </c>
      <c r="Z291" s="25" t="s">
        <v>102</v>
      </c>
      <c r="AA291" s="25" t="s">
        <v>72</v>
      </c>
      <c r="AB291" s="25" t="s">
        <v>1149</v>
      </c>
      <c r="AC291" s="29"/>
      <c r="AD291" s="29"/>
      <c r="AE291" s="29"/>
      <c r="AF291" s="29"/>
      <c r="AG291" s="29"/>
      <c r="AH291" s="10" t="s">
        <v>52</v>
      </c>
      <c r="AI291" s="10"/>
      <c r="AJ291" s="10"/>
      <c r="AK291" s="10"/>
    </row>
    <row r="292" hidden="1">
      <c r="A292" s="10">
        <v>291.0</v>
      </c>
      <c r="B292" s="46">
        <v>45427.0</v>
      </c>
      <c r="C292" s="25">
        <v>0.0</v>
      </c>
      <c r="D292" s="12">
        <v>0.0</v>
      </c>
      <c r="E292" s="25" t="s">
        <v>1308</v>
      </c>
      <c r="F292" s="29"/>
      <c r="G292" s="30"/>
      <c r="H292" s="45" t="s">
        <v>1165</v>
      </c>
      <c r="I292" s="27">
        <v>1.0</v>
      </c>
      <c r="J292" s="28" t="s">
        <v>91</v>
      </c>
      <c r="K292" s="22">
        <v>45495.0</v>
      </c>
      <c r="L292" s="23" t="s">
        <v>86</v>
      </c>
      <c r="M292" s="29"/>
      <c r="N292" s="25" t="s">
        <v>1441</v>
      </c>
      <c r="O292" s="25" t="s">
        <v>1442</v>
      </c>
      <c r="P292" s="25">
        <v>70954.0</v>
      </c>
      <c r="Q292" s="12" t="s">
        <v>42</v>
      </c>
      <c r="R292" s="25" t="s">
        <v>334</v>
      </c>
      <c r="S292" s="32">
        <v>2250.0</v>
      </c>
      <c r="T292" s="25"/>
      <c r="U292" s="25" t="s">
        <v>1443</v>
      </c>
      <c r="V292" s="25" t="s">
        <v>1444</v>
      </c>
      <c r="W292" s="29"/>
      <c r="X292" s="25" t="s">
        <v>47</v>
      </c>
      <c r="Y292" s="25" t="s">
        <v>48</v>
      </c>
      <c r="Z292" s="25" t="s">
        <v>49</v>
      </c>
      <c r="AA292" s="25" t="s">
        <v>72</v>
      </c>
      <c r="AB292" s="25" t="s">
        <v>1149</v>
      </c>
      <c r="AC292" s="29"/>
      <c r="AD292" s="29"/>
      <c r="AE292" s="29"/>
      <c r="AF292" s="29"/>
      <c r="AG292" s="29"/>
      <c r="AH292" s="10" t="s">
        <v>52</v>
      </c>
      <c r="AI292" s="10"/>
      <c r="AJ292" s="10"/>
      <c r="AK292" s="10"/>
    </row>
    <row r="293" hidden="1">
      <c r="A293" s="10">
        <v>292.0</v>
      </c>
      <c r="B293" s="46">
        <v>45443.0</v>
      </c>
      <c r="C293" s="25">
        <v>0.0</v>
      </c>
      <c r="D293" s="12">
        <v>0.0</v>
      </c>
      <c r="E293" s="25" t="s">
        <v>1308</v>
      </c>
      <c r="F293" s="29"/>
      <c r="G293" s="30"/>
      <c r="H293" s="45" t="s">
        <v>1165</v>
      </c>
      <c r="I293" s="27">
        <v>1.0</v>
      </c>
      <c r="J293" s="28" t="s">
        <v>1420</v>
      </c>
      <c r="K293" s="22">
        <v>45500.0</v>
      </c>
      <c r="L293" s="19" t="s">
        <v>38</v>
      </c>
      <c r="M293" s="25" t="s">
        <v>1445</v>
      </c>
      <c r="N293" s="25" t="s">
        <v>1446</v>
      </c>
      <c r="O293" s="25" t="s">
        <v>1447</v>
      </c>
      <c r="P293" s="25">
        <v>73226.0</v>
      </c>
      <c r="Q293" s="12" t="s">
        <v>42</v>
      </c>
      <c r="R293" s="12" t="s">
        <v>43</v>
      </c>
      <c r="S293" s="32">
        <v>2340.0</v>
      </c>
      <c r="T293" s="25"/>
      <c r="U293" s="25" t="s">
        <v>1448</v>
      </c>
      <c r="V293" s="25" t="s">
        <v>1449</v>
      </c>
      <c r="W293" s="29"/>
      <c r="X293" s="25" t="s">
        <v>1023</v>
      </c>
      <c r="Y293" s="25" t="s">
        <v>48</v>
      </c>
      <c r="Z293" s="25" t="s">
        <v>49</v>
      </c>
      <c r="AA293" s="25" t="s">
        <v>50</v>
      </c>
      <c r="AB293" s="25" t="s">
        <v>1090</v>
      </c>
      <c r="AC293" s="29"/>
      <c r="AD293" s="29"/>
      <c r="AE293" s="29"/>
      <c r="AF293" s="29"/>
      <c r="AG293" s="29"/>
      <c r="AH293" s="10" t="s">
        <v>52</v>
      </c>
      <c r="AI293" s="10"/>
      <c r="AJ293" s="10"/>
      <c r="AK293" s="10"/>
    </row>
    <row r="294" hidden="1">
      <c r="A294" s="10">
        <v>293.0</v>
      </c>
      <c r="B294" s="46">
        <v>45438.0</v>
      </c>
      <c r="C294" s="25">
        <v>0.0</v>
      </c>
      <c r="D294" s="12">
        <f t="shared" ref="D294:D305" si="8">IF(C294-TODAY()&gt;0,C294-TODAY(),0)</f>
        <v>0</v>
      </c>
      <c r="E294" s="25" t="s">
        <v>1308</v>
      </c>
      <c r="F294" s="29"/>
      <c r="G294" s="30"/>
      <c r="H294" s="45" t="s">
        <v>1165</v>
      </c>
      <c r="I294" s="27">
        <v>2.0</v>
      </c>
      <c r="J294" s="28" t="s">
        <v>91</v>
      </c>
      <c r="K294" s="22">
        <v>45507.0</v>
      </c>
      <c r="L294" s="23" t="s">
        <v>86</v>
      </c>
      <c r="M294" s="25"/>
      <c r="N294" s="25" t="s">
        <v>1450</v>
      </c>
      <c r="O294" s="25" t="s">
        <v>1442</v>
      </c>
      <c r="P294" s="25">
        <v>73138.0</v>
      </c>
      <c r="Q294" s="12" t="s">
        <v>42</v>
      </c>
      <c r="R294" s="25" t="s">
        <v>334</v>
      </c>
      <c r="S294" s="32">
        <v>2250.0</v>
      </c>
      <c r="T294" s="25"/>
      <c r="U294" s="25" t="s">
        <v>1451</v>
      </c>
      <c r="V294" s="25" t="s">
        <v>1452</v>
      </c>
      <c r="W294" s="29"/>
      <c r="X294" s="25" t="s">
        <v>47</v>
      </c>
      <c r="Y294" s="25" t="s">
        <v>48</v>
      </c>
      <c r="Z294" s="25" t="s">
        <v>49</v>
      </c>
      <c r="AA294" s="25" t="s">
        <v>72</v>
      </c>
      <c r="AB294" s="25" t="s">
        <v>1149</v>
      </c>
      <c r="AC294" s="29"/>
      <c r="AD294" s="29"/>
      <c r="AE294" s="29"/>
      <c r="AF294" s="29"/>
      <c r="AG294" s="29"/>
      <c r="AH294" s="10" t="s">
        <v>52</v>
      </c>
      <c r="AI294" s="10"/>
      <c r="AJ294" s="10"/>
      <c r="AK294" s="10"/>
    </row>
    <row r="295" hidden="1">
      <c r="A295" s="10">
        <v>294.0</v>
      </c>
      <c r="B295" s="46">
        <v>45439.0</v>
      </c>
      <c r="C295" s="25">
        <v>0.0</v>
      </c>
      <c r="D295" s="12">
        <f t="shared" si="8"/>
        <v>0</v>
      </c>
      <c r="E295" s="25" t="s">
        <v>1308</v>
      </c>
      <c r="F295" s="29"/>
      <c r="G295" s="30"/>
      <c r="H295" s="45" t="s">
        <v>1165</v>
      </c>
      <c r="I295" s="27">
        <v>6.0</v>
      </c>
      <c r="J295" s="28" t="s">
        <v>1420</v>
      </c>
      <c r="K295" s="22">
        <v>45508.0</v>
      </c>
      <c r="L295" s="19" t="s">
        <v>38</v>
      </c>
      <c r="M295" s="25" t="s">
        <v>1350</v>
      </c>
      <c r="N295" s="25" t="s">
        <v>1453</v>
      </c>
      <c r="O295" s="25" t="s">
        <v>1352</v>
      </c>
      <c r="P295" s="25">
        <v>73207.0</v>
      </c>
      <c r="Q295" s="12" t="s">
        <v>42</v>
      </c>
      <c r="R295" s="12" t="s">
        <v>43</v>
      </c>
      <c r="S295" s="29"/>
      <c r="T295" s="25"/>
      <c r="U295" s="25" t="s">
        <v>1454</v>
      </c>
      <c r="V295" s="25" t="s">
        <v>1455</v>
      </c>
      <c r="W295" s="29"/>
      <c r="X295" s="25" t="s">
        <v>47</v>
      </c>
      <c r="Y295" s="25" t="s">
        <v>48</v>
      </c>
      <c r="Z295" s="25" t="s">
        <v>49</v>
      </c>
      <c r="AA295" s="25" t="s">
        <v>72</v>
      </c>
      <c r="AB295" s="25" t="s">
        <v>1149</v>
      </c>
      <c r="AC295" s="29"/>
      <c r="AD295" s="29"/>
      <c r="AE295" s="29"/>
      <c r="AF295" s="29"/>
      <c r="AG295" s="29"/>
      <c r="AH295" s="10" t="s">
        <v>52</v>
      </c>
      <c r="AI295" s="10"/>
      <c r="AJ295" s="10"/>
      <c r="AK295" s="10"/>
    </row>
    <row r="296" hidden="1">
      <c r="A296" s="10">
        <v>295.0</v>
      </c>
      <c r="B296" s="46">
        <v>45495.0</v>
      </c>
      <c r="C296" s="25">
        <v>0.0</v>
      </c>
      <c r="D296" s="12">
        <f t="shared" si="8"/>
        <v>0</v>
      </c>
      <c r="E296" s="25" t="s">
        <v>1308</v>
      </c>
      <c r="F296" s="29"/>
      <c r="G296" s="30"/>
      <c r="H296" s="45" t="s">
        <v>1415</v>
      </c>
      <c r="I296" s="27">
        <v>1.0</v>
      </c>
      <c r="J296" s="28" t="s">
        <v>1420</v>
      </c>
      <c r="K296" s="22">
        <v>45565.0</v>
      </c>
      <c r="L296" s="19" t="s">
        <v>53</v>
      </c>
      <c r="M296" s="25" t="s">
        <v>483</v>
      </c>
      <c r="N296" s="25" t="s">
        <v>1456</v>
      </c>
      <c r="O296" s="25" t="s">
        <v>1457</v>
      </c>
      <c r="P296" s="25">
        <v>100999.0</v>
      </c>
      <c r="Q296" s="25" t="s">
        <v>485</v>
      </c>
      <c r="R296" s="25" t="s">
        <v>486</v>
      </c>
      <c r="S296" s="29">
        <v>2695.0</v>
      </c>
      <c r="T296" s="25"/>
      <c r="U296" s="25" t="s">
        <v>1458</v>
      </c>
      <c r="V296" s="25"/>
      <c r="W296" s="29"/>
      <c r="X296" s="25" t="s">
        <v>47</v>
      </c>
      <c r="Y296" s="25" t="s">
        <v>120</v>
      </c>
      <c r="Z296" s="25" t="s">
        <v>49</v>
      </c>
      <c r="AA296" s="25" t="s">
        <v>72</v>
      </c>
      <c r="AB296" s="25" t="s">
        <v>138</v>
      </c>
      <c r="AC296" s="29"/>
      <c r="AD296" s="29"/>
      <c r="AE296" s="29"/>
      <c r="AF296" s="29"/>
      <c r="AG296" s="29"/>
      <c r="AH296" s="10" t="s">
        <v>52</v>
      </c>
      <c r="AI296" s="10"/>
      <c r="AJ296" s="10"/>
      <c r="AK296" s="10"/>
    </row>
    <row r="297" hidden="1">
      <c r="A297" s="10">
        <v>296.0</v>
      </c>
      <c r="B297" s="46">
        <v>45549.0</v>
      </c>
      <c r="C297" s="25">
        <v>0.0</v>
      </c>
      <c r="D297" s="12">
        <f t="shared" si="8"/>
        <v>0</v>
      </c>
      <c r="E297" s="25" t="s">
        <v>1308</v>
      </c>
      <c r="F297" s="29"/>
      <c r="G297" s="30"/>
      <c r="H297" s="45" t="s">
        <v>1165</v>
      </c>
      <c r="I297" s="27">
        <v>1.0</v>
      </c>
      <c r="J297" s="28" t="s">
        <v>91</v>
      </c>
      <c r="K297" s="22">
        <v>45574.0</v>
      </c>
      <c r="L297" s="23" t="s">
        <v>590</v>
      </c>
      <c r="M297" s="25" t="s">
        <v>1459</v>
      </c>
      <c r="N297" s="25">
        <v>9.000518E7</v>
      </c>
      <c r="O297" s="25" t="s">
        <v>1460</v>
      </c>
      <c r="P297" s="25">
        <v>217049.0</v>
      </c>
      <c r="Q297" s="25" t="s">
        <v>171</v>
      </c>
      <c r="R297" s="25" t="s">
        <v>594</v>
      </c>
      <c r="S297" s="29">
        <v>2350.0</v>
      </c>
      <c r="T297" s="25"/>
      <c r="U297" s="25" t="s">
        <v>1461</v>
      </c>
      <c r="V297" s="25" t="s">
        <v>1462</v>
      </c>
      <c r="W297" s="29"/>
      <c r="X297" s="25" t="s">
        <v>47</v>
      </c>
      <c r="Y297" s="25" t="s">
        <v>48</v>
      </c>
      <c r="Z297" s="25" t="s">
        <v>102</v>
      </c>
      <c r="AA297" s="25" t="s">
        <v>72</v>
      </c>
      <c r="AB297" s="25" t="s">
        <v>1149</v>
      </c>
      <c r="AC297" s="29"/>
      <c r="AD297" s="29"/>
      <c r="AE297" s="29"/>
      <c r="AF297" s="29"/>
      <c r="AG297" s="29"/>
      <c r="AH297" s="10" t="s">
        <v>52</v>
      </c>
      <c r="AI297" s="10"/>
      <c r="AJ297" s="10"/>
      <c r="AK297" s="10"/>
    </row>
    <row r="298" hidden="1">
      <c r="A298" s="10">
        <v>297.0</v>
      </c>
      <c r="B298" s="46">
        <v>45524.0</v>
      </c>
      <c r="C298" s="25">
        <v>0.0</v>
      </c>
      <c r="D298" s="12">
        <f t="shared" si="8"/>
        <v>0</v>
      </c>
      <c r="E298" s="25" t="s">
        <v>1308</v>
      </c>
      <c r="F298" s="29"/>
      <c r="G298" s="30"/>
      <c r="H298" s="45" t="s">
        <v>1165</v>
      </c>
      <c r="I298" s="27">
        <v>2.0</v>
      </c>
      <c r="J298" s="28" t="s">
        <v>91</v>
      </c>
      <c r="K298" s="22">
        <v>45582.0</v>
      </c>
      <c r="L298" s="23" t="s">
        <v>95</v>
      </c>
      <c r="M298" s="25" t="s">
        <v>1463</v>
      </c>
      <c r="N298" s="25" t="s">
        <v>1464</v>
      </c>
      <c r="O298" s="25" t="s">
        <v>1465</v>
      </c>
      <c r="P298" s="25">
        <v>113886.0</v>
      </c>
      <c r="Q298" s="12" t="s">
        <v>42</v>
      </c>
      <c r="R298" s="25" t="s">
        <v>334</v>
      </c>
      <c r="S298" s="29">
        <v>3650.0</v>
      </c>
      <c r="T298" s="25"/>
      <c r="U298" s="25" t="s">
        <v>1466</v>
      </c>
      <c r="V298" s="25" t="s">
        <v>1467</v>
      </c>
      <c r="W298" s="29"/>
      <c r="X298" s="25" t="s">
        <v>47</v>
      </c>
      <c r="Y298" s="25" t="s">
        <v>48</v>
      </c>
      <c r="Z298" s="25" t="s">
        <v>49</v>
      </c>
      <c r="AA298" s="25" t="s">
        <v>72</v>
      </c>
      <c r="AB298" s="25" t="s">
        <v>1149</v>
      </c>
      <c r="AC298" s="29"/>
      <c r="AD298" s="29"/>
      <c r="AE298" s="29"/>
      <c r="AF298" s="29"/>
      <c r="AG298" s="29"/>
      <c r="AH298" s="10" t="s">
        <v>52</v>
      </c>
      <c r="AI298" s="10"/>
      <c r="AJ298" s="10"/>
      <c r="AK298" s="10"/>
    </row>
    <row r="299" hidden="1">
      <c r="A299" s="10">
        <v>298.0</v>
      </c>
      <c r="B299" s="46">
        <v>45482.0</v>
      </c>
      <c r="C299" s="25">
        <v>0.0</v>
      </c>
      <c r="D299" s="12">
        <f t="shared" si="8"/>
        <v>0</v>
      </c>
      <c r="E299" s="25" t="s">
        <v>1308</v>
      </c>
      <c r="F299" s="29"/>
      <c r="G299" s="30"/>
      <c r="H299" s="45" t="s">
        <v>1165</v>
      </c>
      <c r="I299" s="27">
        <v>1.0</v>
      </c>
      <c r="J299" s="28" t="s">
        <v>1420</v>
      </c>
      <c r="K299" s="22">
        <v>45542.0</v>
      </c>
      <c r="L299" s="19" t="s">
        <v>38</v>
      </c>
      <c r="M299" s="25" t="s">
        <v>1468</v>
      </c>
      <c r="N299" s="25" t="s">
        <v>1469</v>
      </c>
      <c r="O299" s="25" t="s">
        <v>1470</v>
      </c>
      <c r="P299" s="25">
        <v>91290.0</v>
      </c>
      <c r="Q299" s="12" t="s">
        <v>67</v>
      </c>
      <c r="R299" s="25" t="s">
        <v>111</v>
      </c>
      <c r="S299" s="29">
        <v>4150.0</v>
      </c>
      <c r="T299" s="25"/>
      <c r="U299" s="25" t="s">
        <v>1471</v>
      </c>
      <c r="V299" s="25" t="s">
        <v>1472</v>
      </c>
      <c r="W299" s="29"/>
      <c r="X299" s="25" t="s">
        <v>47</v>
      </c>
      <c r="Y299" s="25" t="s">
        <v>48</v>
      </c>
      <c r="Z299" s="25" t="s">
        <v>49</v>
      </c>
      <c r="AA299" s="25" t="s">
        <v>72</v>
      </c>
      <c r="AB299" s="25" t="s">
        <v>1187</v>
      </c>
      <c r="AC299" s="29"/>
      <c r="AD299" s="29"/>
      <c r="AE299" s="29"/>
      <c r="AF299" s="29"/>
      <c r="AG299" s="29"/>
      <c r="AH299" s="10" t="s">
        <v>52</v>
      </c>
      <c r="AI299" s="10"/>
      <c r="AJ299" s="10"/>
      <c r="AK299" s="10"/>
    </row>
    <row r="300" hidden="1">
      <c r="A300" s="10">
        <v>299.0</v>
      </c>
      <c r="B300" s="46">
        <v>45441.0</v>
      </c>
      <c r="C300" s="25">
        <v>0.0</v>
      </c>
      <c r="D300" s="12">
        <f t="shared" si="8"/>
        <v>0</v>
      </c>
      <c r="E300" s="25" t="s">
        <v>1308</v>
      </c>
      <c r="F300" s="29"/>
      <c r="G300" s="30"/>
      <c r="H300" s="45" t="s">
        <v>1165</v>
      </c>
      <c r="I300" s="27">
        <v>3.0</v>
      </c>
      <c r="J300" s="28" t="s">
        <v>91</v>
      </c>
      <c r="K300" s="22">
        <v>45547.0</v>
      </c>
      <c r="L300" s="23" t="s">
        <v>157</v>
      </c>
      <c r="M300" s="25"/>
      <c r="N300" s="25" t="s">
        <v>1473</v>
      </c>
      <c r="O300" s="25"/>
      <c r="P300" s="25"/>
      <c r="Q300" s="25" t="s">
        <v>160</v>
      </c>
      <c r="R300" s="25" t="s">
        <v>161</v>
      </c>
      <c r="S300" s="29"/>
      <c r="T300" s="25"/>
      <c r="U300" s="25" t="s">
        <v>1474</v>
      </c>
      <c r="V300" s="25"/>
      <c r="W300" s="29"/>
      <c r="X300" s="25" t="s">
        <v>47</v>
      </c>
      <c r="Y300" s="25" t="s">
        <v>48</v>
      </c>
      <c r="Z300" s="25" t="s">
        <v>524</v>
      </c>
      <c r="AA300" s="25" t="s">
        <v>72</v>
      </c>
      <c r="AB300" s="25" t="s">
        <v>165</v>
      </c>
      <c r="AC300" s="29"/>
      <c r="AD300" s="29"/>
      <c r="AE300" s="29"/>
      <c r="AF300" s="29"/>
      <c r="AG300" s="29"/>
      <c r="AH300" s="10" t="s">
        <v>52</v>
      </c>
      <c r="AI300" s="10"/>
      <c r="AJ300" s="10"/>
      <c r="AK300" s="10"/>
    </row>
    <row r="301" hidden="1">
      <c r="A301" s="10">
        <v>300.0</v>
      </c>
      <c r="B301" s="46">
        <v>45513.0</v>
      </c>
      <c r="C301" s="25">
        <v>0.0</v>
      </c>
      <c r="D301" s="12">
        <f t="shared" si="8"/>
        <v>0</v>
      </c>
      <c r="E301" s="25" t="s">
        <v>1308</v>
      </c>
      <c r="F301" s="29"/>
      <c r="G301" s="30"/>
      <c r="H301" s="45" t="s">
        <v>1165</v>
      </c>
      <c r="I301" s="27">
        <v>1.0</v>
      </c>
      <c r="J301" s="28" t="s">
        <v>91</v>
      </c>
      <c r="K301" s="22">
        <v>45549.0</v>
      </c>
      <c r="L301" s="23" t="s">
        <v>1475</v>
      </c>
      <c r="M301" s="25"/>
      <c r="N301" s="25">
        <v>5.243202E7</v>
      </c>
      <c r="O301" s="25"/>
      <c r="P301" s="25">
        <v>190069.0</v>
      </c>
      <c r="Q301" s="12" t="s">
        <v>274</v>
      </c>
      <c r="R301" s="25" t="s">
        <v>149</v>
      </c>
      <c r="S301" s="29">
        <v>2550.0</v>
      </c>
      <c r="T301" s="25"/>
      <c r="U301" s="25" t="s">
        <v>1476</v>
      </c>
      <c r="V301" s="25" t="s">
        <v>1477</v>
      </c>
      <c r="W301" s="29"/>
      <c r="X301" s="25" t="s">
        <v>47</v>
      </c>
      <c r="Y301" s="25" t="s">
        <v>48</v>
      </c>
      <c r="Z301" s="25" t="s">
        <v>102</v>
      </c>
      <c r="AA301" s="25" t="s">
        <v>72</v>
      </c>
      <c r="AB301" s="25" t="s">
        <v>1149</v>
      </c>
      <c r="AC301" s="29"/>
      <c r="AD301" s="29"/>
      <c r="AE301" s="29"/>
      <c r="AF301" s="29"/>
      <c r="AG301" s="29"/>
      <c r="AH301" s="10" t="s">
        <v>52</v>
      </c>
      <c r="AI301" s="10"/>
      <c r="AJ301" s="10"/>
      <c r="AK301" s="10"/>
    </row>
    <row r="302" hidden="1">
      <c r="A302" s="10">
        <v>301.0</v>
      </c>
      <c r="B302" s="46">
        <v>45497.0</v>
      </c>
      <c r="C302" s="25">
        <v>0.0</v>
      </c>
      <c r="D302" s="12">
        <f t="shared" si="8"/>
        <v>0</v>
      </c>
      <c r="E302" s="12" t="s">
        <v>37</v>
      </c>
      <c r="F302" s="29"/>
      <c r="G302" s="30"/>
      <c r="H302" s="45" t="s">
        <v>1177</v>
      </c>
      <c r="I302" s="27">
        <v>3.0</v>
      </c>
      <c r="J302" s="28" t="s">
        <v>91</v>
      </c>
      <c r="K302" s="22">
        <v>45549.0</v>
      </c>
      <c r="L302" s="23" t="s">
        <v>1478</v>
      </c>
      <c r="M302" s="25" t="s">
        <v>1479</v>
      </c>
      <c r="N302" s="25" t="s">
        <v>1480</v>
      </c>
      <c r="O302" s="25" t="s">
        <v>1481</v>
      </c>
      <c r="P302" s="25">
        <v>196520.0</v>
      </c>
      <c r="Q302" s="25" t="s">
        <v>246</v>
      </c>
      <c r="R302" s="25" t="s">
        <v>1482</v>
      </c>
      <c r="S302" s="29">
        <v>4300.0</v>
      </c>
      <c r="T302" s="25"/>
      <c r="U302" s="25" t="s">
        <v>1483</v>
      </c>
      <c r="V302" s="25" t="s">
        <v>1484</v>
      </c>
      <c r="W302" s="29"/>
      <c r="X302" s="25" t="s">
        <v>47</v>
      </c>
      <c r="Y302" s="25" t="s">
        <v>48</v>
      </c>
      <c r="Z302" s="25" t="s">
        <v>102</v>
      </c>
      <c r="AA302" s="25" t="s">
        <v>72</v>
      </c>
      <c r="AB302" s="25" t="s">
        <v>1149</v>
      </c>
      <c r="AC302" s="29"/>
      <c r="AD302" s="29"/>
      <c r="AE302" s="29"/>
      <c r="AF302" s="29"/>
      <c r="AG302" s="29"/>
      <c r="AH302" s="10" t="s">
        <v>52</v>
      </c>
      <c r="AI302" s="10"/>
      <c r="AJ302" s="10"/>
      <c r="AK302" s="10"/>
    </row>
    <row r="303" hidden="1">
      <c r="A303" s="10">
        <v>302.0</v>
      </c>
      <c r="B303" s="46">
        <v>45502.0</v>
      </c>
      <c r="C303" s="25">
        <v>0.0</v>
      </c>
      <c r="D303" s="12">
        <f t="shared" si="8"/>
        <v>0</v>
      </c>
      <c r="E303" s="25" t="s">
        <v>1308</v>
      </c>
      <c r="F303" s="29"/>
      <c r="G303" s="30"/>
      <c r="H303" s="45" t="s">
        <v>1165</v>
      </c>
      <c r="I303" s="27">
        <v>2.0</v>
      </c>
      <c r="J303" s="28"/>
      <c r="K303" s="22">
        <v>45559.0</v>
      </c>
      <c r="L303" s="23" t="s">
        <v>250</v>
      </c>
      <c r="M303" s="25" t="s">
        <v>1485</v>
      </c>
      <c r="N303" s="25" t="s">
        <v>1486</v>
      </c>
      <c r="O303" s="25">
        <v>2400004.0</v>
      </c>
      <c r="P303" s="25">
        <v>99216.0</v>
      </c>
      <c r="Q303" s="12" t="s">
        <v>42</v>
      </c>
      <c r="R303" s="25" t="s">
        <v>334</v>
      </c>
      <c r="S303" s="29"/>
      <c r="T303" s="25"/>
      <c r="U303" s="25" t="s">
        <v>1487</v>
      </c>
      <c r="V303" s="25" t="s">
        <v>1488</v>
      </c>
      <c r="W303" s="29"/>
      <c r="X303" s="25" t="s">
        <v>47</v>
      </c>
      <c r="Y303" s="25" t="s">
        <v>48</v>
      </c>
      <c r="Z303" s="25" t="s">
        <v>49</v>
      </c>
      <c r="AA303" s="25" t="s">
        <v>72</v>
      </c>
      <c r="AB303" s="25"/>
      <c r="AC303" s="29"/>
      <c r="AD303" s="29"/>
      <c r="AE303" s="29"/>
      <c r="AF303" s="29"/>
      <c r="AG303" s="29"/>
      <c r="AH303" s="10" t="s">
        <v>52</v>
      </c>
      <c r="AI303" s="10"/>
      <c r="AJ303" s="10"/>
      <c r="AK303" s="10"/>
    </row>
    <row r="304" hidden="1">
      <c r="A304" s="10">
        <v>303.0</v>
      </c>
      <c r="B304" s="46">
        <v>45480.0</v>
      </c>
      <c r="C304" s="25">
        <v>0.0</v>
      </c>
      <c r="D304" s="12">
        <f t="shared" si="8"/>
        <v>0</v>
      </c>
      <c r="E304" s="25" t="s">
        <v>1308</v>
      </c>
      <c r="F304" s="29"/>
      <c r="G304" s="30"/>
      <c r="H304" s="45" t="s">
        <v>1415</v>
      </c>
      <c r="I304" s="27">
        <v>5.0</v>
      </c>
      <c r="J304" s="28" t="s">
        <v>91</v>
      </c>
      <c r="K304" s="22">
        <v>45526.0</v>
      </c>
      <c r="L304" s="23" t="s">
        <v>180</v>
      </c>
      <c r="M304" s="25" t="s">
        <v>1337</v>
      </c>
      <c r="N304" s="25" t="s">
        <v>1489</v>
      </c>
      <c r="O304" s="25"/>
      <c r="P304" s="25">
        <v>175150.0</v>
      </c>
      <c r="Q304" s="12" t="s">
        <v>80</v>
      </c>
      <c r="R304" s="25" t="s">
        <v>183</v>
      </c>
      <c r="S304" s="29">
        <v>2110.0</v>
      </c>
      <c r="T304" s="25"/>
      <c r="U304" s="25" t="s">
        <v>1490</v>
      </c>
      <c r="V304" s="25" t="s">
        <v>1491</v>
      </c>
      <c r="W304" s="29"/>
      <c r="X304" s="25" t="s">
        <v>47</v>
      </c>
      <c r="Y304" s="25" t="s">
        <v>48</v>
      </c>
      <c r="Z304" s="25" t="s">
        <v>102</v>
      </c>
      <c r="AA304" s="25" t="s">
        <v>72</v>
      </c>
      <c r="AB304" s="25" t="s">
        <v>1149</v>
      </c>
      <c r="AC304" s="29"/>
      <c r="AD304" s="29"/>
      <c r="AE304" s="29"/>
      <c r="AF304" s="29"/>
      <c r="AG304" s="29"/>
      <c r="AH304" s="10" t="s">
        <v>52</v>
      </c>
      <c r="AI304" s="10"/>
      <c r="AJ304" s="10"/>
      <c r="AK304" s="10"/>
    </row>
    <row r="305" hidden="1">
      <c r="A305" s="10">
        <v>304.0</v>
      </c>
      <c r="B305" s="46">
        <v>45460.0</v>
      </c>
      <c r="C305" s="25">
        <v>0.0</v>
      </c>
      <c r="D305" s="12">
        <f t="shared" si="8"/>
        <v>0</v>
      </c>
      <c r="E305" s="25" t="s">
        <v>1308</v>
      </c>
      <c r="F305" s="29"/>
      <c r="G305" s="30"/>
      <c r="H305" s="45" t="s">
        <v>1165</v>
      </c>
      <c r="I305" s="27">
        <v>3.0</v>
      </c>
      <c r="J305" s="28" t="s">
        <v>91</v>
      </c>
      <c r="K305" s="22">
        <v>45535.0</v>
      </c>
      <c r="L305" s="23" t="s">
        <v>1492</v>
      </c>
      <c r="M305" s="25" t="s">
        <v>1493</v>
      </c>
      <c r="N305" s="25" t="s">
        <v>1494</v>
      </c>
      <c r="O305" s="25" t="s">
        <v>1495</v>
      </c>
      <c r="P305" s="25">
        <v>89710.0</v>
      </c>
      <c r="Q305" s="12" t="s">
        <v>80</v>
      </c>
      <c r="R305" s="25" t="s">
        <v>1496</v>
      </c>
      <c r="S305" s="29"/>
      <c r="T305" s="25"/>
      <c r="U305" s="25" t="s">
        <v>1497</v>
      </c>
      <c r="V305" s="25" t="s">
        <v>1498</v>
      </c>
      <c r="W305" s="29"/>
      <c r="X305" s="25" t="s">
        <v>1023</v>
      </c>
      <c r="Y305" s="25" t="s">
        <v>48</v>
      </c>
      <c r="Z305" s="25" t="s">
        <v>524</v>
      </c>
      <c r="AA305" s="25" t="s">
        <v>72</v>
      </c>
      <c r="AB305" s="25" t="s">
        <v>165</v>
      </c>
      <c r="AC305" s="29"/>
      <c r="AD305" s="29"/>
      <c r="AE305" s="29"/>
      <c r="AF305" s="29"/>
      <c r="AG305" s="29"/>
      <c r="AH305" s="10" t="s">
        <v>52</v>
      </c>
      <c r="AI305" s="10"/>
      <c r="AJ305" s="10"/>
      <c r="AK305" s="10"/>
    </row>
    <row r="306" hidden="1">
      <c r="A306" s="10">
        <v>305.0</v>
      </c>
      <c r="B306" s="46">
        <v>45390.0</v>
      </c>
      <c r="C306" s="25">
        <v>0.0</v>
      </c>
      <c r="D306" s="12">
        <v>0.0</v>
      </c>
      <c r="E306" s="12" t="s">
        <v>37</v>
      </c>
      <c r="F306" s="29"/>
      <c r="G306" s="30"/>
      <c r="H306" s="45" t="s">
        <v>1177</v>
      </c>
      <c r="I306" s="27">
        <v>1.0</v>
      </c>
      <c r="J306" s="28"/>
      <c r="K306" s="22">
        <v>45409.0</v>
      </c>
      <c r="L306" s="23" t="s">
        <v>503</v>
      </c>
      <c r="M306" s="25" t="s">
        <v>1499</v>
      </c>
      <c r="N306" s="25">
        <v>2.2418071E7</v>
      </c>
      <c r="O306" s="25"/>
      <c r="P306" s="25">
        <v>82456.0</v>
      </c>
      <c r="Q306" s="25" t="s">
        <v>477</v>
      </c>
      <c r="R306" s="25" t="s">
        <v>1500</v>
      </c>
      <c r="S306" s="29">
        <v>1650.0</v>
      </c>
      <c r="T306" s="25"/>
      <c r="U306" s="25" t="s">
        <v>1501</v>
      </c>
      <c r="V306" s="25">
        <v>3.100017055E9</v>
      </c>
      <c r="W306" s="29" t="s">
        <v>1502</v>
      </c>
      <c r="X306" s="25" t="s">
        <v>1023</v>
      </c>
      <c r="Y306" s="25" t="s">
        <v>48</v>
      </c>
      <c r="Z306" s="25" t="s">
        <v>102</v>
      </c>
      <c r="AA306" s="25" t="s">
        <v>72</v>
      </c>
      <c r="AB306" s="25" t="s">
        <v>1149</v>
      </c>
      <c r="AC306" s="29"/>
      <c r="AD306" s="29"/>
      <c r="AE306" s="29"/>
      <c r="AF306" s="29"/>
      <c r="AG306" s="29"/>
      <c r="AH306" s="10" t="s">
        <v>52</v>
      </c>
      <c r="AI306" s="10"/>
      <c r="AJ306" s="10"/>
      <c r="AK306" s="10"/>
    </row>
    <row r="307" hidden="1">
      <c r="A307" s="10">
        <v>306.0</v>
      </c>
      <c r="B307" s="46">
        <v>45402.0</v>
      </c>
      <c r="C307" s="25">
        <v>0.0</v>
      </c>
      <c r="D307" s="12">
        <v>0.0</v>
      </c>
      <c r="E307" s="25" t="s">
        <v>1308</v>
      </c>
      <c r="F307" s="29"/>
      <c r="G307" s="30"/>
      <c r="H307" s="45" t="s">
        <v>1165</v>
      </c>
      <c r="I307" s="27">
        <v>2.0</v>
      </c>
      <c r="J307" s="28"/>
      <c r="K307" s="22">
        <v>45437.0</v>
      </c>
      <c r="L307" s="23" t="s">
        <v>1475</v>
      </c>
      <c r="M307" s="25" t="s">
        <v>1230</v>
      </c>
      <c r="N307" s="25" t="s">
        <v>1503</v>
      </c>
      <c r="O307" s="25" t="s">
        <v>1232</v>
      </c>
      <c r="P307" s="25">
        <v>100465.0</v>
      </c>
      <c r="Q307" s="12" t="s">
        <v>274</v>
      </c>
      <c r="R307" s="25" t="s">
        <v>149</v>
      </c>
      <c r="S307" s="29">
        <v>2500.0</v>
      </c>
      <c r="T307" s="25"/>
      <c r="U307" s="25" t="s">
        <v>1504</v>
      </c>
      <c r="V307" s="25"/>
      <c r="W307" s="29" t="s">
        <v>1505</v>
      </c>
      <c r="X307" s="25" t="s">
        <v>1023</v>
      </c>
      <c r="Y307" s="25" t="s">
        <v>48</v>
      </c>
      <c r="Z307" s="25" t="s">
        <v>49</v>
      </c>
      <c r="AA307" s="25" t="s">
        <v>72</v>
      </c>
      <c r="AB307" s="25" t="s">
        <v>719</v>
      </c>
      <c r="AC307" s="29"/>
      <c r="AD307" s="29"/>
      <c r="AE307" s="29"/>
      <c r="AF307" s="29"/>
      <c r="AG307" s="29"/>
      <c r="AH307" s="10" t="s">
        <v>52</v>
      </c>
      <c r="AI307" s="10"/>
      <c r="AJ307" s="10"/>
      <c r="AK307" s="10"/>
    </row>
    <row r="308" hidden="1">
      <c r="A308" s="10">
        <v>307.0</v>
      </c>
      <c r="B308" s="46">
        <v>45401.0</v>
      </c>
      <c r="C308" s="25">
        <v>0.0</v>
      </c>
      <c r="D308" s="12">
        <v>0.0</v>
      </c>
      <c r="E308" s="25" t="s">
        <v>1308</v>
      </c>
      <c r="F308" s="29"/>
      <c r="G308" s="30"/>
      <c r="H308" s="45" t="s">
        <v>1165</v>
      </c>
      <c r="I308" s="27">
        <v>2.0</v>
      </c>
      <c r="J308" s="28"/>
      <c r="K308" s="22">
        <v>45438.0</v>
      </c>
      <c r="L308" s="23" t="s">
        <v>503</v>
      </c>
      <c r="M308" s="25" t="s">
        <v>1131</v>
      </c>
      <c r="N308" s="25" t="s">
        <v>1506</v>
      </c>
      <c r="O308" s="25" t="s">
        <v>1285</v>
      </c>
      <c r="P308" s="25">
        <v>100404.0</v>
      </c>
      <c r="Q308" s="25" t="s">
        <v>148</v>
      </c>
      <c r="R308" s="25" t="s">
        <v>149</v>
      </c>
      <c r="S308" s="29">
        <v>2140.0</v>
      </c>
      <c r="T308" s="25"/>
      <c r="U308" s="25" t="s">
        <v>1507</v>
      </c>
      <c r="V308" s="25" t="s">
        <v>1508</v>
      </c>
      <c r="W308" s="29"/>
      <c r="X308" s="25" t="s">
        <v>1023</v>
      </c>
      <c r="Y308" s="25" t="s">
        <v>48</v>
      </c>
      <c r="Z308" s="25" t="s">
        <v>102</v>
      </c>
      <c r="AA308" s="25" t="s">
        <v>72</v>
      </c>
      <c r="AB308" s="25" t="s">
        <v>1289</v>
      </c>
      <c r="AC308" s="29"/>
      <c r="AD308" s="29"/>
      <c r="AE308" s="29"/>
      <c r="AF308" s="29"/>
      <c r="AG308" s="29"/>
      <c r="AH308" s="10" t="s">
        <v>52</v>
      </c>
      <c r="AI308" s="10"/>
      <c r="AJ308" s="10"/>
      <c r="AK308" s="10"/>
    </row>
    <row r="309" hidden="1">
      <c r="A309" s="10">
        <v>308.0</v>
      </c>
      <c r="B309" s="46">
        <v>45395.0</v>
      </c>
      <c r="C309" s="25">
        <v>0.0</v>
      </c>
      <c r="D309" s="12">
        <v>0.0</v>
      </c>
      <c r="E309" s="25" t="s">
        <v>1308</v>
      </c>
      <c r="F309" s="29"/>
      <c r="G309" s="30"/>
      <c r="H309" s="45" t="s">
        <v>1165</v>
      </c>
      <c r="I309" s="27">
        <v>1.0</v>
      </c>
      <c r="J309" s="28"/>
      <c r="K309" s="22">
        <v>45451.0</v>
      </c>
      <c r="L309" s="23" t="s">
        <v>1478</v>
      </c>
      <c r="M309" s="25" t="s">
        <v>1509</v>
      </c>
      <c r="N309" s="25" t="s">
        <v>1510</v>
      </c>
      <c r="O309" s="25" t="s">
        <v>1511</v>
      </c>
      <c r="P309" s="25">
        <v>115103.0</v>
      </c>
      <c r="Q309" s="25" t="s">
        <v>246</v>
      </c>
      <c r="R309" s="25" t="s">
        <v>1482</v>
      </c>
      <c r="S309" s="29"/>
      <c r="T309" s="25"/>
      <c r="U309" s="25" t="s">
        <v>1512</v>
      </c>
      <c r="V309" s="25" t="s">
        <v>1513</v>
      </c>
      <c r="W309" s="29"/>
      <c r="X309" s="25" t="s">
        <v>1023</v>
      </c>
      <c r="Y309" s="25" t="s">
        <v>48</v>
      </c>
      <c r="Z309" s="25" t="s">
        <v>102</v>
      </c>
      <c r="AA309" s="25" t="s">
        <v>72</v>
      </c>
      <c r="AB309" s="25" t="s">
        <v>1149</v>
      </c>
      <c r="AC309" s="29"/>
      <c r="AD309" s="29"/>
      <c r="AE309" s="29"/>
      <c r="AF309" s="29"/>
      <c r="AG309" s="29"/>
      <c r="AH309" s="10" t="s">
        <v>52</v>
      </c>
      <c r="AI309" s="10"/>
      <c r="AJ309" s="10"/>
      <c r="AK309" s="10"/>
    </row>
    <row r="310" hidden="1">
      <c r="A310" s="10">
        <v>309.0</v>
      </c>
      <c r="B310" s="46">
        <v>45391.0</v>
      </c>
      <c r="C310" s="25">
        <v>0.0</v>
      </c>
      <c r="D310" s="12">
        <v>0.0</v>
      </c>
      <c r="E310" s="25" t="s">
        <v>1308</v>
      </c>
      <c r="F310" s="29"/>
      <c r="G310" s="30"/>
      <c r="H310" s="45" t="s">
        <v>1165</v>
      </c>
      <c r="I310" s="27">
        <v>3.0</v>
      </c>
      <c r="J310" s="28"/>
      <c r="K310" s="22">
        <v>45472.0</v>
      </c>
      <c r="L310" s="23" t="s">
        <v>157</v>
      </c>
      <c r="M310" s="25"/>
      <c r="N310" s="25" t="s">
        <v>1514</v>
      </c>
      <c r="O310" s="25" t="s">
        <v>66</v>
      </c>
      <c r="P310" s="25">
        <v>65291.0</v>
      </c>
      <c r="Q310" s="25" t="s">
        <v>160</v>
      </c>
      <c r="R310" s="25" t="s">
        <v>161</v>
      </c>
      <c r="S310" s="29"/>
      <c r="T310" s="25"/>
      <c r="U310" s="25" t="s">
        <v>1515</v>
      </c>
      <c r="V310" s="25" t="s">
        <v>1516</v>
      </c>
      <c r="W310" s="29"/>
      <c r="X310" s="25" t="s">
        <v>47</v>
      </c>
      <c r="Y310" s="25" t="s">
        <v>48</v>
      </c>
      <c r="Z310" s="25" t="s">
        <v>92</v>
      </c>
      <c r="AA310" s="25" t="s">
        <v>72</v>
      </c>
      <c r="AB310" s="25" t="s">
        <v>165</v>
      </c>
      <c r="AC310" s="29"/>
      <c r="AD310" s="29"/>
      <c r="AE310" s="29"/>
      <c r="AF310" s="29"/>
      <c r="AG310" s="29"/>
      <c r="AH310" s="10" t="s">
        <v>52</v>
      </c>
      <c r="AI310" s="10"/>
      <c r="AJ310" s="10"/>
      <c r="AK310" s="10"/>
    </row>
    <row r="311" hidden="1">
      <c r="A311" s="10">
        <v>310.0</v>
      </c>
      <c r="B311" s="46">
        <v>45426.0</v>
      </c>
      <c r="C311" s="25">
        <v>0.0</v>
      </c>
      <c r="D311" s="12">
        <v>0.0</v>
      </c>
      <c r="E311" s="25" t="s">
        <v>1308</v>
      </c>
      <c r="F311" s="29"/>
      <c r="G311" s="30"/>
      <c r="H311" s="45" t="s">
        <v>1415</v>
      </c>
      <c r="I311" s="27">
        <v>1.0</v>
      </c>
      <c r="J311" s="28"/>
      <c r="K311" s="22">
        <v>45476.0</v>
      </c>
      <c r="L311" s="23" t="s">
        <v>503</v>
      </c>
      <c r="M311" s="25" t="s">
        <v>1517</v>
      </c>
      <c r="N311" s="25">
        <v>2.2425479E7</v>
      </c>
      <c r="O311" s="25" t="s">
        <v>66</v>
      </c>
      <c r="P311" s="25">
        <v>64197.0</v>
      </c>
      <c r="Q311" s="12" t="s">
        <v>67</v>
      </c>
      <c r="R311" s="25" t="s">
        <v>1518</v>
      </c>
      <c r="S311" s="29">
        <v>2400.0</v>
      </c>
      <c r="T311" s="25"/>
      <c r="U311" s="25" t="s">
        <v>1519</v>
      </c>
      <c r="V311" s="25" t="s">
        <v>1520</v>
      </c>
      <c r="W311" s="29"/>
      <c r="X311" s="25" t="s">
        <v>47</v>
      </c>
      <c r="Y311" s="25" t="s">
        <v>120</v>
      </c>
      <c r="Z311" s="25" t="s">
        <v>49</v>
      </c>
      <c r="AA311" s="25" t="s">
        <v>72</v>
      </c>
      <c r="AB311" s="25" t="s">
        <v>1149</v>
      </c>
      <c r="AC311" s="29"/>
      <c r="AD311" s="29"/>
      <c r="AE311" s="29"/>
      <c r="AF311" s="29"/>
      <c r="AG311" s="29"/>
      <c r="AH311" s="10" t="s">
        <v>52</v>
      </c>
      <c r="AI311" s="10"/>
      <c r="AJ311" s="10"/>
      <c r="AK311" s="10"/>
    </row>
    <row r="312" hidden="1">
      <c r="A312" s="10">
        <v>311.0</v>
      </c>
      <c r="B312" s="46">
        <v>45447.0</v>
      </c>
      <c r="C312" s="25">
        <v>0.0</v>
      </c>
      <c r="D312" s="12">
        <v>0.0</v>
      </c>
      <c r="E312" s="25" t="s">
        <v>1308</v>
      </c>
      <c r="F312" s="29"/>
      <c r="G312" s="30"/>
      <c r="H312" s="45" t="s">
        <v>1165</v>
      </c>
      <c r="I312" s="27">
        <v>3.0</v>
      </c>
      <c r="J312" s="28" t="s">
        <v>91</v>
      </c>
      <c r="K312" s="22">
        <v>45490.0</v>
      </c>
      <c r="L312" s="23" t="s">
        <v>503</v>
      </c>
      <c r="M312" s="25" t="s">
        <v>1131</v>
      </c>
      <c r="N312" s="25" t="s">
        <v>1521</v>
      </c>
      <c r="O312" s="25" t="s">
        <v>1522</v>
      </c>
      <c r="P312" s="25">
        <v>145638.0</v>
      </c>
      <c r="Q312" s="25" t="s">
        <v>148</v>
      </c>
      <c r="R312" s="25" t="s">
        <v>149</v>
      </c>
      <c r="S312" s="29"/>
      <c r="T312" s="25"/>
      <c r="U312" s="25" t="s">
        <v>1523</v>
      </c>
      <c r="V312" s="25" t="s">
        <v>1524</v>
      </c>
      <c r="W312" s="29"/>
      <c r="X312" s="25" t="s">
        <v>47</v>
      </c>
      <c r="Y312" s="25" t="s">
        <v>48</v>
      </c>
      <c r="Z312" s="25" t="s">
        <v>102</v>
      </c>
      <c r="AA312" s="25" t="s">
        <v>72</v>
      </c>
      <c r="AB312" s="25" t="s">
        <v>294</v>
      </c>
      <c r="AC312" s="29"/>
      <c r="AD312" s="29"/>
      <c r="AE312" s="29"/>
      <c r="AF312" s="29"/>
      <c r="AG312" s="29"/>
      <c r="AH312" s="10" t="s">
        <v>52</v>
      </c>
      <c r="AI312" s="10"/>
      <c r="AJ312" s="10"/>
      <c r="AK312" s="10"/>
    </row>
    <row r="313" hidden="1">
      <c r="A313" s="10">
        <v>312.0</v>
      </c>
      <c r="B313" s="46">
        <v>45424.0</v>
      </c>
      <c r="C313" s="25">
        <v>0.0</v>
      </c>
      <c r="D313" s="12">
        <v>0.0</v>
      </c>
      <c r="E313" s="25" t="s">
        <v>1308</v>
      </c>
      <c r="F313" s="29"/>
      <c r="G313" s="30"/>
      <c r="H313" s="45" t="s">
        <v>1415</v>
      </c>
      <c r="I313" s="27">
        <v>1.0</v>
      </c>
      <c r="J313" s="28" t="s">
        <v>1420</v>
      </c>
      <c r="K313" s="22">
        <v>45493.0</v>
      </c>
      <c r="L313" s="23" t="s">
        <v>503</v>
      </c>
      <c r="M313" s="25" t="s">
        <v>1525</v>
      </c>
      <c r="N313" s="25" t="s">
        <v>1526</v>
      </c>
      <c r="O313" s="25"/>
      <c r="P313" s="25">
        <v>65210.0</v>
      </c>
      <c r="Q313" s="12" t="s">
        <v>67</v>
      </c>
      <c r="R313" s="25" t="s">
        <v>416</v>
      </c>
      <c r="S313" s="29"/>
      <c r="T313" s="25"/>
      <c r="U313" s="25" t="s">
        <v>1527</v>
      </c>
      <c r="V313" s="25" t="s">
        <v>1528</v>
      </c>
      <c r="W313" s="29" t="s">
        <v>1529</v>
      </c>
      <c r="X313" s="25" t="s">
        <v>47</v>
      </c>
      <c r="Y313" s="25" t="s">
        <v>120</v>
      </c>
      <c r="Z313" s="25" t="s">
        <v>49</v>
      </c>
      <c r="AA313" s="25" t="s">
        <v>72</v>
      </c>
      <c r="AB313" s="25" t="s">
        <v>1410</v>
      </c>
      <c r="AC313" s="29"/>
      <c r="AD313" s="29"/>
      <c r="AE313" s="29"/>
      <c r="AF313" s="29"/>
      <c r="AG313" s="29"/>
      <c r="AH313" s="10" t="s">
        <v>52</v>
      </c>
      <c r="AI313" s="10"/>
      <c r="AJ313" s="10"/>
      <c r="AK313" s="10"/>
    </row>
    <row r="314" hidden="1">
      <c r="A314" s="10">
        <v>313.0</v>
      </c>
      <c r="B314" s="46">
        <v>45410.0</v>
      </c>
      <c r="C314" s="25">
        <v>0.0</v>
      </c>
      <c r="D314" s="12">
        <v>0.0</v>
      </c>
      <c r="E314" s="25" t="s">
        <v>1308</v>
      </c>
      <c r="F314" s="29"/>
      <c r="G314" s="30"/>
      <c r="H314" s="45" t="s">
        <v>1415</v>
      </c>
      <c r="I314" s="27">
        <v>20.0</v>
      </c>
      <c r="J314" s="28" t="s">
        <v>1420</v>
      </c>
      <c r="K314" s="22">
        <v>45494.0</v>
      </c>
      <c r="L314" s="19" t="s">
        <v>38</v>
      </c>
      <c r="M314" s="25" t="s">
        <v>1530</v>
      </c>
      <c r="N314" s="25" t="s">
        <v>1531</v>
      </c>
      <c r="O314" s="25" t="s">
        <v>1532</v>
      </c>
      <c r="P314" s="25">
        <v>72250.0</v>
      </c>
      <c r="Q314" s="12" t="s">
        <v>67</v>
      </c>
      <c r="R314" s="31" t="s">
        <v>775</v>
      </c>
      <c r="S314" s="29">
        <v>2770.0</v>
      </c>
      <c r="T314" s="25"/>
      <c r="U314" s="25" t="s">
        <v>1533</v>
      </c>
      <c r="V314" s="25"/>
      <c r="W314" s="29"/>
      <c r="X314" s="25" t="s">
        <v>47</v>
      </c>
      <c r="Y314" s="25" t="s">
        <v>120</v>
      </c>
      <c r="Z314" s="25" t="s">
        <v>49</v>
      </c>
      <c r="AA314" s="25" t="s">
        <v>72</v>
      </c>
      <c r="AB314" s="25" t="s">
        <v>1149</v>
      </c>
      <c r="AC314" s="29"/>
      <c r="AD314" s="29"/>
      <c r="AE314" s="29"/>
      <c r="AF314" s="29"/>
      <c r="AG314" s="29"/>
      <c r="AH314" s="10" t="s">
        <v>52</v>
      </c>
      <c r="AI314" s="10"/>
      <c r="AJ314" s="10"/>
      <c r="AK314" s="10"/>
    </row>
    <row r="315" hidden="1">
      <c r="A315" s="10">
        <v>314.0</v>
      </c>
      <c r="B315" s="46">
        <v>45472.0</v>
      </c>
      <c r="C315" s="25">
        <v>0.0</v>
      </c>
      <c r="D315" s="12">
        <v>0.0</v>
      </c>
      <c r="E315" s="25" t="s">
        <v>1308</v>
      </c>
      <c r="F315" s="29"/>
      <c r="G315" s="30"/>
      <c r="H315" s="45" t="s">
        <v>1165</v>
      </c>
      <c r="I315" s="27">
        <v>5.0</v>
      </c>
      <c r="J315" s="28" t="s">
        <v>91</v>
      </c>
      <c r="K315" s="22">
        <v>45498.0</v>
      </c>
      <c r="L315" s="19" t="s">
        <v>270</v>
      </c>
      <c r="M315" s="25" t="s">
        <v>1436</v>
      </c>
      <c r="N315" s="25" t="s">
        <v>1534</v>
      </c>
      <c r="O315" s="25" t="s">
        <v>1438</v>
      </c>
      <c r="P315" s="25">
        <v>152034.0</v>
      </c>
      <c r="Q315" s="12" t="s">
        <v>274</v>
      </c>
      <c r="R315" s="25" t="s">
        <v>275</v>
      </c>
      <c r="S315" s="29">
        <v>3000.0</v>
      </c>
      <c r="T315" s="25"/>
      <c r="U315" s="25" t="s">
        <v>1535</v>
      </c>
      <c r="V315" s="25" t="s">
        <v>1536</v>
      </c>
      <c r="W315" s="29"/>
      <c r="X315" s="25" t="s">
        <v>47</v>
      </c>
      <c r="Y315" s="25" t="s">
        <v>48</v>
      </c>
      <c r="Z315" s="25" t="s">
        <v>102</v>
      </c>
      <c r="AA315" s="25" t="s">
        <v>72</v>
      </c>
      <c r="AB315" s="25" t="s">
        <v>1149</v>
      </c>
      <c r="AC315" s="29"/>
      <c r="AD315" s="29"/>
      <c r="AE315" s="29"/>
      <c r="AF315" s="29"/>
      <c r="AG315" s="29"/>
      <c r="AH315" s="10" t="s">
        <v>52</v>
      </c>
      <c r="AI315" s="10"/>
      <c r="AJ315" s="10"/>
      <c r="AK315" s="10"/>
    </row>
    <row r="316" hidden="1">
      <c r="A316" s="10">
        <v>315.0</v>
      </c>
      <c r="B316" s="46">
        <v>45479.0</v>
      </c>
      <c r="C316" s="25">
        <v>0.0</v>
      </c>
      <c r="D316" s="12">
        <f t="shared" ref="D316:D318" si="9">IF(C316-TODAY()&gt;0,C316-TODAY(),0)</f>
        <v>0</v>
      </c>
      <c r="E316" s="25" t="s">
        <v>1308</v>
      </c>
      <c r="F316" s="29"/>
      <c r="G316" s="30"/>
      <c r="H316" s="45" t="s">
        <v>1165</v>
      </c>
      <c r="I316" s="27">
        <v>5.0</v>
      </c>
      <c r="J316" s="28" t="s">
        <v>91</v>
      </c>
      <c r="K316" s="22">
        <v>45503.0</v>
      </c>
      <c r="L316" s="19" t="s">
        <v>270</v>
      </c>
      <c r="M316" s="25" t="s">
        <v>1537</v>
      </c>
      <c r="N316" s="25" t="s">
        <v>1538</v>
      </c>
      <c r="O316" s="25" t="s">
        <v>1438</v>
      </c>
      <c r="P316" s="25">
        <v>155885.0</v>
      </c>
      <c r="Q316" s="12" t="s">
        <v>274</v>
      </c>
      <c r="R316" s="25" t="s">
        <v>275</v>
      </c>
      <c r="S316" s="29">
        <v>3000.0</v>
      </c>
      <c r="T316" s="25"/>
      <c r="U316" s="25" t="s">
        <v>1539</v>
      </c>
      <c r="V316" s="25" t="s">
        <v>1540</v>
      </c>
      <c r="W316" s="29"/>
      <c r="X316" s="25" t="s">
        <v>47</v>
      </c>
      <c r="Y316" s="25" t="s">
        <v>48</v>
      </c>
      <c r="Z316" s="25" t="s">
        <v>102</v>
      </c>
      <c r="AA316" s="25" t="s">
        <v>72</v>
      </c>
      <c r="AB316" s="25" t="s">
        <v>1149</v>
      </c>
      <c r="AC316" s="29"/>
      <c r="AD316" s="29"/>
      <c r="AE316" s="29"/>
      <c r="AF316" s="29"/>
      <c r="AG316" s="29"/>
      <c r="AH316" s="10" t="s">
        <v>52</v>
      </c>
      <c r="AI316" s="10"/>
      <c r="AJ316" s="10"/>
      <c r="AK316" s="10"/>
    </row>
    <row r="317" hidden="1">
      <c r="A317" s="10">
        <v>316.0</v>
      </c>
      <c r="B317" s="46">
        <v>45483.0</v>
      </c>
      <c r="C317" s="25">
        <v>0.0</v>
      </c>
      <c r="D317" s="12">
        <f t="shared" si="9"/>
        <v>0</v>
      </c>
      <c r="E317" s="25" t="s">
        <v>1308</v>
      </c>
      <c r="F317" s="29"/>
      <c r="G317" s="30"/>
      <c r="H317" s="45"/>
      <c r="I317" s="27">
        <v>1.0</v>
      </c>
      <c r="J317" s="28" t="s">
        <v>91</v>
      </c>
      <c r="K317" s="22">
        <v>45504.0</v>
      </c>
      <c r="L317" s="23" t="s">
        <v>503</v>
      </c>
      <c r="M317" s="25" t="s">
        <v>1541</v>
      </c>
      <c r="N317" s="25">
        <v>2.2436888E7</v>
      </c>
      <c r="O317" s="25"/>
      <c r="P317" s="25">
        <v>157452.0</v>
      </c>
      <c r="Q317" s="25" t="s">
        <v>148</v>
      </c>
      <c r="R317" s="25" t="s">
        <v>149</v>
      </c>
      <c r="S317" s="29">
        <v>2300.0</v>
      </c>
      <c r="T317" s="25"/>
      <c r="U317" s="25" t="s">
        <v>1542</v>
      </c>
      <c r="V317" s="25" t="s">
        <v>1543</v>
      </c>
      <c r="W317" s="29"/>
      <c r="X317" s="25" t="s">
        <v>47</v>
      </c>
      <c r="Y317" s="25" t="s">
        <v>48</v>
      </c>
      <c r="Z317" s="25" t="s">
        <v>102</v>
      </c>
      <c r="AA317" s="25" t="s">
        <v>72</v>
      </c>
      <c r="AB317" s="25" t="s">
        <v>1289</v>
      </c>
      <c r="AC317" s="29"/>
      <c r="AD317" s="29"/>
      <c r="AE317" s="29"/>
      <c r="AF317" s="29"/>
      <c r="AG317" s="29"/>
      <c r="AH317" s="10" t="s">
        <v>52</v>
      </c>
      <c r="AI317" s="10"/>
      <c r="AJ317" s="10"/>
      <c r="AK317" s="10"/>
    </row>
    <row r="318" ht="48.0" hidden="1" customHeight="1">
      <c r="A318" s="10">
        <v>317.0</v>
      </c>
      <c r="B318" s="46">
        <v>45489.0</v>
      </c>
      <c r="C318" s="25">
        <v>0.0</v>
      </c>
      <c r="D318" s="12">
        <f t="shared" si="9"/>
        <v>0</v>
      </c>
      <c r="E318" s="25" t="s">
        <v>1308</v>
      </c>
      <c r="F318" s="29"/>
      <c r="G318" s="30"/>
      <c r="H318" s="45" t="s">
        <v>1165</v>
      </c>
      <c r="I318" s="27">
        <v>1.0</v>
      </c>
      <c r="J318" s="28" t="s">
        <v>91</v>
      </c>
      <c r="K318" s="22">
        <v>45504.0</v>
      </c>
      <c r="L318" s="23" t="s">
        <v>890</v>
      </c>
      <c r="M318" s="25" t="s">
        <v>1544</v>
      </c>
      <c r="N318" s="25" t="s">
        <v>1545</v>
      </c>
      <c r="O318" s="25"/>
      <c r="P318" s="25">
        <v>155043.0</v>
      </c>
      <c r="Q318" s="25" t="s">
        <v>1196</v>
      </c>
      <c r="R318" s="25" t="s">
        <v>1546</v>
      </c>
      <c r="S318" s="29">
        <v>1745.0</v>
      </c>
      <c r="T318" s="25"/>
      <c r="U318" s="25" t="s">
        <v>1547</v>
      </c>
      <c r="V318" s="25"/>
      <c r="W318" s="29"/>
      <c r="X318" s="25" t="s">
        <v>47</v>
      </c>
      <c r="Y318" s="25" t="s">
        <v>120</v>
      </c>
      <c r="Z318" s="25" t="s">
        <v>102</v>
      </c>
      <c r="AA318" s="25" t="s">
        <v>72</v>
      </c>
      <c r="AB318" s="25" t="s">
        <v>1276</v>
      </c>
      <c r="AC318" s="29"/>
      <c r="AD318" s="29"/>
      <c r="AE318" s="29"/>
      <c r="AF318" s="29"/>
      <c r="AG318" s="29"/>
      <c r="AH318" s="10" t="s">
        <v>52</v>
      </c>
      <c r="AI318" s="10"/>
      <c r="AJ318" s="10"/>
      <c r="AK318" s="10"/>
    </row>
    <row r="319" hidden="1">
      <c r="A319" s="10">
        <v>318.0</v>
      </c>
      <c r="B319" s="46">
        <v>45443.0</v>
      </c>
      <c r="C319" s="25">
        <v>0.0</v>
      </c>
      <c r="D319" s="12">
        <v>0.0</v>
      </c>
      <c r="E319" s="25" t="s">
        <v>1308</v>
      </c>
      <c r="F319" s="29"/>
      <c r="G319" s="30"/>
      <c r="H319" s="45" t="s">
        <v>1165</v>
      </c>
      <c r="I319" s="27">
        <v>1.0</v>
      </c>
      <c r="J319" s="28" t="s">
        <v>1420</v>
      </c>
      <c r="K319" s="22">
        <v>45507.0</v>
      </c>
      <c r="L319" s="19" t="s">
        <v>38</v>
      </c>
      <c r="M319" s="25" t="s">
        <v>1548</v>
      </c>
      <c r="N319" s="25" t="s">
        <v>1549</v>
      </c>
      <c r="O319" s="25" t="s">
        <v>1550</v>
      </c>
      <c r="P319" s="25">
        <v>72983.0</v>
      </c>
      <c r="Q319" s="12" t="s">
        <v>42</v>
      </c>
      <c r="R319" s="12" t="s">
        <v>43</v>
      </c>
      <c r="S319" s="29">
        <v>2980.0</v>
      </c>
      <c r="T319" s="25"/>
      <c r="U319" s="25" t="s">
        <v>1551</v>
      </c>
      <c r="V319" s="25" t="s">
        <v>1552</v>
      </c>
      <c r="W319" s="29"/>
      <c r="X319" s="25" t="s">
        <v>47</v>
      </c>
      <c r="Y319" s="25" t="s">
        <v>48</v>
      </c>
      <c r="Z319" s="25" t="s">
        <v>49</v>
      </c>
      <c r="AA319" s="25" t="s">
        <v>72</v>
      </c>
      <c r="AB319" s="25" t="s">
        <v>114</v>
      </c>
      <c r="AC319" s="29"/>
      <c r="AD319" s="29"/>
      <c r="AE319" s="29"/>
      <c r="AF319" s="29"/>
      <c r="AG319" s="29"/>
      <c r="AH319" s="10" t="s">
        <v>52</v>
      </c>
      <c r="AI319" s="10"/>
      <c r="AJ319" s="10"/>
      <c r="AK319" s="10"/>
    </row>
    <row r="320" hidden="1">
      <c r="A320" s="10">
        <v>319.0</v>
      </c>
      <c r="B320" s="46">
        <v>45454.0</v>
      </c>
      <c r="C320" s="25">
        <v>0.0</v>
      </c>
      <c r="D320" s="12">
        <f t="shared" ref="D320:D329" si="10">IF(C320-TODAY()&gt;0,C320-TODAY(),0)</f>
        <v>0</v>
      </c>
      <c r="E320" s="25" t="s">
        <v>1308</v>
      </c>
      <c r="F320" s="29"/>
      <c r="G320" s="30"/>
      <c r="H320" s="45" t="s">
        <v>1165</v>
      </c>
      <c r="I320" s="27">
        <v>1.0</v>
      </c>
      <c r="J320" s="28" t="s">
        <v>91</v>
      </c>
      <c r="K320" s="22">
        <v>45507.0</v>
      </c>
      <c r="L320" s="23" t="s">
        <v>242</v>
      </c>
      <c r="M320" s="25"/>
      <c r="N320" s="25">
        <v>9.0540404E7</v>
      </c>
      <c r="O320" s="25" t="s">
        <v>1553</v>
      </c>
      <c r="P320" s="25">
        <v>160356.0</v>
      </c>
      <c r="Q320" s="25" t="s">
        <v>246</v>
      </c>
      <c r="R320" s="25" t="s">
        <v>247</v>
      </c>
      <c r="S320" s="29">
        <v>4300.0</v>
      </c>
      <c r="T320" s="25"/>
      <c r="U320" s="25" t="s">
        <v>1554</v>
      </c>
      <c r="V320" s="25" t="s">
        <v>1555</v>
      </c>
      <c r="W320" s="29"/>
      <c r="X320" s="25" t="s">
        <v>47</v>
      </c>
      <c r="Y320" s="25" t="s">
        <v>48</v>
      </c>
      <c r="Z320" s="25" t="s">
        <v>102</v>
      </c>
      <c r="AA320" s="25" t="s">
        <v>72</v>
      </c>
      <c r="AB320" s="25" t="s">
        <v>1149</v>
      </c>
      <c r="AC320" s="29"/>
      <c r="AD320" s="29"/>
      <c r="AE320" s="29"/>
      <c r="AF320" s="29"/>
      <c r="AG320" s="29"/>
      <c r="AH320" s="10" t="s">
        <v>52</v>
      </c>
      <c r="AI320" s="10"/>
      <c r="AJ320" s="10"/>
      <c r="AK320" s="10"/>
    </row>
    <row r="321" hidden="1">
      <c r="A321" s="10">
        <v>320.0</v>
      </c>
      <c r="B321" s="46">
        <v>45486.0</v>
      </c>
      <c r="C321" s="25">
        <v>0.0</v>
      </c>
      <c r="D321" s="12">
        <f t="shared" si="10"/>
        <v>0</v>
      </c>
      <c r="E321" s="25" t="s">
        <v>1308</v>
      </c>
      <c r="F321" s="29"/>
      <c r="G321" s="30"/>
      <c r="H321" s="45" t="s">
        <v>1165</v>
      </c>
      <c r="I321" s="27">
        <v>1.0</v>
      </c>
      <c r="J321" s="28" t="s">
        <v>91</v>
      </c>
      <c r="K321" s="22">
        <v>45511.0</v>
      </c>
      <c r="L321" s="23" t="s">
        <v>1248</v>
      </c>
      <c r="M321" s="25" t="s">
        <v>1556</v>
      </c>
      <c r="N321" s="25">
        <v>1.5007485E7</v>
      </c>
      <c r="O321" s="25"/>
      <c r="P321" s="25">
        <v>164254.0</v>
      </c>
      <c r="Q321" s="25" t="s">
        <v>573</v>
      </c>
      <c r="R321" s="25" t="s">
        <v>196</v>
      </c>
      <c r="S321" s="29">
        <v>1850.0</v>
      </c>
      <c r="T321" s="25"/>
      <c r="U321" s="25" t="s">
        <v>1557</v>
      </c>
      <c r="V321" s="25" t="s">
        <v>1558</v>
      </c>
      <c r="W321" s="29"/>
      <c r="X321" s="25" t="s">
        <v>47</v>
      </c>
      <c r="Y321" s="25" t="s">
        <v>48</v>
      </c>
      <c r="Z321" s="25" t="s">
        <v>49</v>
      </c>
      <c r="AA321" s="25"/>
      <c r="AB321" s="25" t="s">
        <v>1149</v>
      </c>
      <c r="AC321" s="29"/>
      <c r="AD321" s="29"/>
      <c r="AE321" s="29"/>
      <c r="AF321" s="29"/>
      <c r="AG321" s="29"/>
      <c r="AH321" s="10" t="s">
        <v>52</v>
      </c>
      <c r="AI321" s="10"/>
      <c r="AJ321" s="10"/>
      <c r="AK321" s="10"/>
    </row>
    <row r="322" hidden="1">
      <c r="A322" s="10">
        <v>321.0</v>
      </c>
      <c r="B322" s="46">
        <v>45456.0</v>
      </c>
      <c r="C322" s="25">
        <v>0.0</v>
      </c>
      <c r="D322" s="12">
        <f t="shared" si="10"/>
        <v>0</v>
      </c>
      <c r="E322" s="25" t="s">
        <v>1308</v>
      </c>
      <c r="F322" s="29"/>
      <c r="G322" s="30"/>
      <c r="H322" s="45" t="s">
        <v>1415</v>
      </c>
      <c r="I322" s="27">
        <v>1.0</v>
      </c>
      <c r="J322" s="28" t="s">
        <v>1420</v>
      </c>
      <c r="K322" s="22">
        <v>45514.0</v>
      </c>
      <c r="L322" s="19" t="s">
        <v>53</v>
      </c>
      <c r="M322" s="25" t="s">
        <v>1559</v>
      </c>
      <c r="N322" s="25" t="s">
        <v>1560</v>
      </c>
      <c r="O322" s="25">
        <v>2400007.0</v>
      </c>
      <c r="P322" s="25">
        <v>83073.0</v>
      </c>
      <c r="Q322" s="12" t="s">
        <v>67</v>
      </c>
      <c r="R322" s="25" t="s">
        <v>189</v>
      </c>
      <c r="S322" s="29">
        <v>3700.0</v>
      </c>
      <c r="T322" s="25"/>
      <c r="U322" s="25" t="s">
        <v>1561</v>
      </c>
      <c r="V322" s="25" t="s">
        <v>1562</v>
      </c>
      <c r="W322" s="29"/>
      <c r="X322" s="25" t="s">
        <v>47</v>
      </c>
      <c r="Y322" s="25" t="s">
        <v>120</v>
      </c>
      <c r="Z322" s="25" t="s">
        <v>49</v>
      </c>
      <c r="AA322" s="25" t="s">
        <v>72</v>
      </c>
      <c r="AB322" s="25" t="s">
        <v>719</v>
      </c>
      <c r="AC322" s="29"/>
      <c r="AD322" s="29"/>
      <c r="AE322" s="29"/>
      <c r="AF322" s="29"/>
      <c r="AG322" s="29"/>
      <c r="AH322" s="10" t="s">
        <v>52</v>
      </c>
      <c r="AI322" s="10"/>
      <c r="AJ322" s="10"/>
      <c r="AK322" s="10"/>
    </row>
    <row r="323" hidden="1">
      <c r="A323" s="10">
        <v>322.0</v>
      </c>
      <c r="B323" s="46">
        <v>45421.0</v>
      </c>
      <c r="C323" s="25">
        <v>0.0</v>
      </c>
      <c r="D323" s="12">
        <f t="shared" si="10"/>
        <v>0</v>
      </c>
      <c r="E323" s="25" t="s">
        <v>1308</v>
      </c>
      <c r="F323" s="29"/>
      <c r="G323" s="30"/>
      <c r="H323" s="45" t="s">
        <v>1415</v>
      </c>
      <c r="I323" s="27">
        <v>33.0</v>
      </c>
      <c r="J323" s="28" t="s">
        <v>1420</v>
      </c>
      <c r="K323" s="22">
        <v>45517.0</v>
      </c>
      <c r="L323" s="19" t="s">
        <v>38</v>
      </c>
      <c r="M323" s="25" t="s">
        <v>1563</v>
      </c>
      <c r="N323" s="25" t="s">
        <v>1564</v>
      </c>
      <c r="O323" s="25" t="s">
        <v>1532</v>
      </c>
      <c r="P323" s="25">
        <v>77706.0</v>
      </c>
      <c r="Q323" s="12" t="s">
        <v>67</v>
      </c>
      <c r="R323" s="31" t="s">
        <v>775</v>
      </c>
      <c r="S323" s="29">
        <v>3000.0</v>
      </c>
      <c r="T323" s="25"/>
      <c r="U323" s="25" t="s">
        <v>1565</v>
      </c>
      <c r="V323" s="25"/>
      <c r="W323" s="29"/>
      <c r="X323" s="25" t="s">
        <v>47</v>
      </c>
      <c r="Y323" s="25" t="s">
        <v>120</v>
      </c>
      <c r="Z323" s="25" t="s">
        <v>49</v>
      </c>
      <c r="AA323" s="25" t="s">
        <v>72</v>
      </c>
      <c r="AB323" s="25"/>
      <c r="AC323" s="29"/>
      <c r="AD323" s="29"/>
      <c r="AE323" s="29"/>
      <c r="AF323" s="29"/>
      <c r="AG323" s="29"/>
      <c r="AH323" s="10" t="s">
        <v>52</v>
      </c>
      <c r="AI323" s="10"/>
      <c r="AJ323" s="10"/>
      <c r="AK323" s="10"/>
    </row>
    <row r="324" hidden="1">
      <c r="A324" s="10">
        <v>323.0</v>
      </c>
      <c r="B324" s="46">
        <v>45466.0</v>
      </c>
      <c r="C324" s="25">
        <v>0.0</v>
      </c>
      <c r="D324" s="12">
        <f t="shared" si="10"/>
        <v>0</v>
      </c>
      <c r="E324" s="25" t="s">
        <v>1308</v>
      </c>
      <c r="F324" s="29"/>
      <c r="G324" s="30"/>
      <c r="H324" s="45" t="s">
        <v>1165</v>
      </c>
      <c r="I324" s="27">
        <v>1.0</v>
      </c>
      <c r="J324" s="28" t="s">
        <v>91</v>
      </c>
      <c r="K324" s="22">
        <v>45522.0</v>
      </c>
      <c r="L324" s="23" t="s">
        <v>250</v>
      </c>
      <c r="M324" s="25" t="s">
        <v>1485</v>
      </c>
      <c r="N324" s="25" t="s">
        <v>1566</v>
      </c>
      <c r="O324" s="25">
        <v>2400004.0</v>
      </c>
      <c r="P324" s="25">
        <v>86058.0</v>
      </c>
      <c r="Q324" s="12" t="s">
        <v>42</v>
      </c>
      <c r="R324" s="25" t="s">
        <v>334</v>
      </c>
      <c r="S324" s="29"/>
      <c r="T324" s="25"/>
      <c r="U324" s="25" t="s">
        <v>1567</v>
      </c>
      <c r="V324" s="25"/>
      <c r="W324" s="29"/>
      <c r="X324" s="25" t="s">
        <v>47</v>
      </c>
      <c r="Y324" s="25" t="s">
        <v>48</v>
      </c>
      <c r="Z324" s="25" t="s">
        <v>49</v>
      </c>
      <c r="AA324" s="25" t="s">
        <v>72</v>
      </c>
      <c r="AB324" s="25" t="s">
        <v>138</v>
      </c>
      <c r="AC324" s="29"/>
      <c r="AD324" s="29"/>
      <c r="AE324" s="29"/>
      <c r="AF324" s="29"/>
      <c r="AG324" s="29"/>
      <c r="AH324" s="10" t="s">
        <v>52</v>
      </c>
      <c r="AI324" s="10"/>
      <c r="AJ324" s="10"/>
      <c r="AK324" s="10"/>
    </row>
    <row r="325" hidden="1">
      <c r="A325" s="10">
        <v>324.0</v>
      </c>
      <c r="B325" s="46">
        <v>45471.0</v>
      </c>
      <c r="C325" s="25">
        <v>0.0</v>
      </c>
      <c r="D325" s="12">
        <f t="shared" si="10"/>
        <v>0</v>
      </c>
      <c r="E325" s="25" t="s">
        <v>1308</v>
      </c>
      <c r="F325" s="29"/>
      <c r="G325" s="30"/>
      <c r="H325" s="45" t="s">
        <v>1165</v>
      </c>
      <c r="I325" s="27">
        <v>2.0</v>
      </c>
      <c r="J325" s="28" t="s">
        <v>91</v>
      </c>
      <c r="K325" s="22">
        <v>45522.0</v>
      </c>
      <c r="L325" s="23" t="s">
        <v>250</v>
      </c>
      <c r="M325" s="25" t="s">
        <v>1485</v>
      </c>
      <c r="N325" s="25" t="s">
        <v>1568</v>
      </c>
      <c r="O325" s="25">
        <v>2400004.0</v>
      </c>
      <c r="P325" s="25">
        <v>86009.0</v>
      </c>
      <c r="Q325" s="12" t="s">
        <v>42</v>
      </c>
      <c r="R325" s="25" t="s">
        <v>334</v>
      </c>
      <c r="S325" s="29"/>
      <c r="T325" s="25"/>
      <c r="U325" s="25" t="s">
        <v>1569</v>
      </c>
      <c r="V325" s="25"/>
      <c r="W325" s="29"/>
      <c r="X325" s="25" t="s">
        <v>47</v>
      </c>
      <c r="Y325" s="25" t="s">
        <v>48</v>
      </c>
      <c r="Z325" s="25" t="s">
        <v>49</v>
      </c>
      <c r="AA325" s="25" t="s">
        <v>72</v>
      </c>
      <c r="AB325" s="25" t="s">
        <v>138</v>
      </c>
      <c r="AC325" s="29"/>
      <c r="AD325" s="29"/>
      <c r="AE325" s="29"/>
      <c r="AF325" s="29"/>
      <c r="AG325" s="29"/>
      <c r="AH325" s="10" t="s">
        <v>52</v>
      </c>
      <c r="AI325" s="10"/>
      <c r="AJ325" s="10"/>
      <c r="AK325" s="10"/>
    </row>
    <row r="326" hidden="1">
      <c r="A326" s="10">
        <v>325.0</v>
      </c>
      <c r="B326" s="46">
        <v>45464.0</v>
      </c>
      <c r="C326" s="25">
        <v>0.0</v>
      </c>
      <c r="D326" s="12">
        <f t="shared" si="10"/>
        <v>0</v>
      </c>
      <c r="E326" s="25" t="s">
        <v>1308</v>
      </c>
      <c r="F326" s="29"/>
      <c r="G326" s="30"/>
      <c r="H326" s="45" t="s">
        <v>1415</v>
      </c>
      <c r="I326" s="27">
        <v>1.0</v>
      </c>
      <c r="J326" s="28" t="s">
        <v>1420</v>
      </c>
      <c r="K326" s="22">
        <v>45528.0</v>
      </c>
      <c r="L326" s="23" t="s">
        <v>503</v>
      </c>
      <c r="M326" s="25" t="s">
        <v>1570</v>
      </c>
      <c r="N326" s="25" t="s">
        <v>1571</v>
      </c>
      <c r="O326" s="25"/>
      <c r="P326" s="25">
        <v>85495.0</v>
      </c>
      <c r="Q326" s="12" t="s">
        <v>67</v>
      </c>
      <c r="R326" s="25" t="s">
        <v>111</v>
      </c>
      <c r="S326" s="29">
        <v>3285.0</v>
      </c>
      <c r="T326" s="25"/>
      <c r="U326" s="25" t="s">
        <v>1572</v>
      </c>
      <c r="V326" s="25" t="s">
        <v>1573</v>
      </c>
      <c r="W326" s="29"/>
      <c r="X326" s="25" t="s">
        <v>47</v>
      </c>
      <c r="Y326" s="25" t="s">
        <v>120</v>
      </c>
      <c r="Z326" s="25" t="s">
        <v>49</v>
      </c>
      <c r="AA326" s="25" t="s">
        <v>72</v>
      </c>
      <c r="AB326" s="25" t="s">
        <v>719</v>
      </c>
      <c r="AC326" s="29"/>
      <c r="AD326" s="29"/>
      <c r="AE326" s="29"/>
      <c r="AF326" s="29"/>
      <c r="AG326" s="29"/>
      <c r="AH326" s="10" t="s">
        <v>52</v>
      </c>
      <c r="AI326" s="10"/>
      <c r="AJ326" s="10"/>
      <c r="AK326" s="10"/>
    </row>
    <row r="327" hidden="1">
      <c r="A327" s="10">
        <v>326.0</v>
      </c>
      <c r="B327" s="46">
        <v>45455.0</v>
      </c>
      <c r="C327" s="25">
        <v>0.0</v>
      </c>
      <c r="D327" s="12">
        <f t="shared" si="10"/>
        <v>0</v>
      </c>
      <c r="E327" s="25" t="s">
        <v>1308</v>
      </c>
      <c r="F327" s="29"/>
      <c r="G327" s="30"/>
      <c r="H327" s="45" t="s">
        <v>1165</v>
      </c>
      <c r="I327" s="27">
        <v>3.0</v>
      </c>
      <c r="J327" s="28" t="s">
        <v>1420</v>
      </c>
      <c r="K327" s="74">
        <v>45524.0</v>
      </c>
      <c r="L327" s="23" t="s">
        <v>86</v>
      </c>
      <c r="M327" s="25"/>
      <c r="N327" s="25" t="s">
        <v>1574</v>
      </c>
      <c r="O327" s="25" t="s">
        <v>1575</v>
      </c>
      <c r="P327" s="25">
        <v>81261.0</v>
      </c>
      <c r="Q327" s="12" t="s">
        <v>42</v>
      </c>
      <c r="R327" s="25" t="s">
        <v>334</v>
      </c>
      <c r="S327" s="32">
        <v>2250.0</v>
      </c>
      <c r="T327" s="25"/>
      <c r="U327" s="25" t="s">
        <v>1576</v>
      </c>
      <c r="V327" s="25" t="s">
        <v>1577</v>
      </c>
      <c r="W327" s="29"/>
      <c r="X327" s="25" t="s">
        <v>47</v>
      </c>
      <c r="Y327" s="25" t="s">
        <v>48</v>
      </c>
      <c r="Z327" s="25" t="s">
        <v>49</v>
      </c>
      <c r="AA327" s="25" t="s">
        <v>72</v>
      </c>
      <c r="AB327" s="25" t="s">
        <v>1149</v>
      </c>
      <c r="AC327" s="29"/>
      <c r="AD327" s="29"/>
      <c r="AE327" s="29"/>
      <c r="AF327" s="29"/>
      <c r="AG327" s="29"/>
      <c r="AH327" s="75"/>
      <c r="AI327" s="75"/>
      <c r="AJ327" s="75"/>
      <c r="AK327" s="75"/>
    </row>
    <row r="328" hidden="1">
      <c r="A328" s="10">
        <v>327.0</v>
      </c>
      <c r="B328" s="46">
        <v>45471.0</v>
      </c>
      <c r="C328" s="25">
        <v>0.0</v>
      </c>
      <c r="D328" s="12">
        <f t="shared" si="10"/>
        <v>0</v>
      </c>
      <c r="E328" s="25" t="s">
        <v>1308</v>
      </c>
      <c r="F328" s="29"/>
      <c r="G328" s="30"/>
      <c r="H328" s="45" t="s">
        <v>1165</v>
      </c>
      <c r="I328" s="27">
        <v>2.0</v>
      </c>
      <c r="J328" s="28" t="s">
        <v>1420</v>
      </c>
      <c r="K328" s="74">
        <v>45522.0</v>
      </c>
      <c r="L328" s="23" t="s">
        <v>86</v>
      </c>
      <c r="M328" s="76"/>
      <c r="N328" s="77" t="s">
        <v>1578</v>
      </c>
      <c r="O328" s="25" t="s">
        <v>1575</v>
      </c>
      <c r="P328" s="25">
        <v>86352.0</v>
      </c>
      <c r="Q328" s="12" t="s">
        <v>42</v>
      </c>
      <c r="R328" s="25" t="s">
        <v>334</v>
      </c>
      <c r="S328" s="32">
        <v>3200.0</v>
      </c>
      <c r="T328" s="25"/>
      <c r="U328" s="25" t="s">
        <v>1579</v>
      </c>
      <c r="V328" s="25">
        <v>5.040068849E10</v>
      </c>
      <c r="W328" s="29"/>
      <c r="X328" s="25" t="s">
        <v>47</v>
      </c>
      <c r="Y328" s="25" t="s">
        <v>48</v>
      </c>
      <c r="Z328" s="25" t="s">
        <v>49</v>
      </c>
      <c r="AA328" s="25" t="s">
        <v>970</v>
      </c>
      <c r="AB328" s="25" t="s">
        <v>1149</v>
      </c>
      <c r="AC328" s="29"/>
      <c r="AD328" s="29"/>
      <c r="AE328" s="29"/>
      <c r="AF328" s="29"/>
      <c r="AG328" s="29"/>
      <c r="AH328" s="75"/>
      <c r="AI328" s="75"/>
      <c r="AJ328" s="75"/>
      <c r="AK328" s="75"/>
    </row>
    <row r="329" hidden="1">
      <c r="A329" s="10">
        <v>328.0</v>
      </c>
      <c r="B329" s="46">
        <v>45496.0</v>
      </c>
      <c r="C329" s="25">
        <v>0.0</v>
      </c>
      <c r="D329" s="12">
        <f t="shared" si="10"/>
        <v>0</v>
      </c>
      <c r="E329" s="25" t="s">
        <v>37</v>
      </c>
      <c r="F329" s="29"/>
      <c r="G329" s="30"/>
      <c r="H329" s="45" t="s">
        <v>1177</v>
      </c>
      <c r="I329" s="27">
        <v>1.0</v>
      </c>
      <c r="J329" s="28" t="s">
        <v>91</v>
      </c>
      <c r="K329" s="22">
        <v>45523.0</v>
      </c>
      <c r="L329" s="23" t="s">
        <v>403</v>
      </c>
      <c r="M329" s="25" t="s">
        <v>1580</v>
      </c>
      <c r="N329" s="25" t="s">
        <v>1581</v>
      </c>
      <c r="O329" s="76"/>
      <c r="P329" s="25">
        <v>173216.0</v>
      </c>
      <c r="Q329" s="25" t="s">
        <v>80</v>
      </c>
      <c r="R329" s="25" t="s">
        <v>406</v>
      </c>
      <c r="S329" s="25">
        <v>1825.0</v>
      </c>
      <c r="T329" s="25"/>
      <c r="U329" s="25" t="s">
        <v>1582</v>
      </c>
      <c r="V329" s="25" t="s">
        <v>1583</v>
      </c>
      <c r="W329" s="29"/>
      <c r="X329" s="25" t="s">
        <v>47</v>
      </c>
      <c r="Y329" s="25" t="s">
        <v>120</v>
      </c>
      <c r="Z329" s="25" t="s">
        <v>102</v>
      </c>
      <c r="AA329" s="25" t="s">
        <v>72</v>
      </c>
      <c r="AB329" s="25" t="s">
        <v>138</v>
      </c>
      <c r="AC329" s="29"/>
      <c r="AD329" s="29"/>
      <c r="AE329" s="29"/>
      <c r="AF329" s="29"/>
      <c r="AG329" s="29"/>
      <c r="AH329" s="33" t="s">
        <v>1584</v>
      </c>
      <c r="AI329" s="33"/>
      <c r="AJ329" s="33"/>
      <c r="AK329" s="33"/>
    </row>
    <row r="330" hidden="1">
      <c r="A330" s="10">
        <v>329.0</v>
      </c>
      <c r="B330" s="46">
        <v>45443.0</v>
      </c>
      <c r="C330" s="25">
        <v>0.1</v>
      </c>
      <c r="D330" s="12">
        <v>0.0</v>
      </c>
      <c r="E330" s="25" t="s">
        <v>1308</v>
      </c>
      <c r="F330" s="29"/>
      <c r="G330" s="30"/>
      <c r="H330" s="45" t="s">
        <v>1415</v>
      </c>
      <c r="I330" s="27">
        <v>2.0</v>
      </c>
      <c r="J330" s="28" t="s">
        <v>91</v>
      </c>
      <c r="K330" s="22">
        <v>45486.0</v>
      </c>
      <c r="L330" s="23" t="s">
        <v>78</v>
      </c>
      <c r="M330" s="25" t="s">
        <v>1585</v>
      </c>
      <c r="N330" s="25" t="s">
        <v>1586</v>
      </c>
      <c r="O330" s="29"/>
      <c r="P330" s="25">
        <v>142143.0</v>
      </c>
      <c r="Q330" s="25" t="s">
        <v>80</v>
      </c>
      <c r="R330" s="25" t="s">
        <v>81</v>
      </c>
      <c r="S330" s="25">
        <v>1010.0</v>
      </c>
      <c r="T330" s="25"/>
      <c r="U330" s="25" t="s">
        <v>1587</v>
      </c>
      <c r="V330" s="25" t="s">
        <v>1588</v>
      </c>
      <c r="W330" s="29"/>
      <c r="X330" s="25" t="s">
        <v>47</v>
      </c>
      <c r="Y330" s="25" t="s">
        <v>48</v>
      </c>
      <c r="Z330" s="25" t="s">
        <v>49</v>
      </c>
      <c r="AA330" s="25" t="s">
        <v>72</v>
      </c>
      <c r="AB330" s="25" t="s">
        <v>1589</v>
      </c>
      <c r="AC330" s="29"/>
      <c r="AD330" s="29"/>
      <c r="AE330" s="29"/>
      <c r="AF330" s="29"/>
      <c r="AG330" s="29"/>
      <c r="AH330" s="33" t="s">
        <v>1584</v>
      </c>
      <c r="AI330" s="33"/>
      <c r="AJ330" s="33"/>
      <c r="AK330" s="33"/>
    </row>
    <row r="331" hidden="1">
      <c r="A331" s="10">
        <v>330.0</v>
      </c>
      <c r="B331" s="46">
        <v>45482.0</v>
      </c>
      <c r="C331" s="25">
        <v>0.1</v>
      </c>
      <c r="D331" s="12">
        <f t="shared" ref="D331:D598" si="11">IF(C331-TODAY()&gt;0,C331-TODAY(),0)</f>
        <v>0</v>
      </c>
      <c r="E331" s="25" t="s">
        <v>1308</v>
      </c>
      <c r="F331" s="29"/>
      <c r="G331" s="30"/>
      <c r="H331" s="45" t="s">
        <v>1415</v>
      </c>
      <c r="I331" s="27">
        <v>1.0</v>
      </c>
      <c r="J331" s="28" t="s">
        <v>91</v>
      </c>
      <c r="K331" s="22">
        <v>45517.0</v>
      </c>
      <c r="L331" s="23" t="s">
        <v>78</v>
      </c>
      <c r="M331" s="25" t="s">
        <v>1590</v>
      </c>
      <c r="N331" s="25">
        <v>563.0</v>
      </c>
      <c r="O331" s="29"/>
      <c r="P331" s="25">
        <v>169166.0</v>
      </c>
      <c r="Q331" s="25" t="s">
        <v>80</v>
      </c>
      <c r="R331" s="25" t="s">
        <v>81</v>
      </c>
      <c r="S331" s="32">
        <v>1450.0</v>
      </c>
      <c r="T331" s="25"/>
      <c r="U331" s="25" t="s">
        <v>1591</v>
      </c>
      <c r="V331" s="25" t="s">
        <v>1592</v>
      </c>
      <c r="W331" s="29"/>
      <c r="X331" s="25" t="s">
        <v>47</v>
      </c>
      <c r="Y331" s="25" t="s">
        <v>48</v>
      </c>
      <c r="Z331" s="25" t="s">
        <v>49</v>
      </c>
      <c r="AA331" s="25" t="s">
        <v>970</v>
      </c>
      <c r="AB331" s="29"/>
      <c r="AC331" s="29"/>
      <c r="AD331" s="29"/>
      <c r="AE331" s="29"/>
      <c r="AF331" s="29"/>
      <c r="AG331" s="29"/>
      <c r="AH331" s="33" t="s">
        <v>1584</v>
      </c>
      <c r="AI331" s="33"/>
      <c r="AJ331" s="33"/>
      <c r="AK331" s="33"/>
    </row>
    <row r="332" hidden="1">
      <c r="A332" s="10">
        <v>331.0</v>
      </c>
      <c r="B332" s="46">
        <v>45497.0</v>
      </c>
      <c r="C332" s="25">
        <v>0.1</v>
      </c>
      <c r="D332" s="12">
        <f t="shared" si="11"/>
        <v>0</v>
      </c>
      <c r="E332" s="25" t="s">
        <v>1308</v>
      </c>
      <c r="F332" s="29"/>
      <c r="G332" s="30"/>
      <c r="H332" s="45" t="s">
        <v>1415</v>
      </c>
      <c r="I332" s="27">
        <v>3.0</v>
      </c>
      <c r="J332" s="28" t="s">
        <v>91</v>
      </c>
      <c r="K332" s="22">
        <v>45523.0</v>
      </c>
      <c r="L332" s="23" t="s">
        <v>1593</v>
      </c>
      <c r="M332" s="25" t="s">
        <v>1594</v>
      </c>
      <c r="N332" s="25" t="s">
        <v>1595</v>
      </c>
      <c r="O332" s="25" t="s">
        <v>1596</v>
      </c>
      <c r="P332" s="25">
        <v>169704.0</v>
      </c>
      <c r="Q332" s="25" t="s">
        <v>80</v>
      </c>
      <c r="R332" s="25" t="s">
        <v>1496</v>
      </c>
      <c r="S332" s="25">
        <v>1322.0</v>
      </c>
      <c r="T332" s="25"/>
      <c r="U332" s="25" t="s">
        <v>1597</v>
      </c>
      <c r="V332" s="25" t="s">
        <v>1598</v>
      </c>
      <c r="W332" s="29"/>
      <c r="X332" s="25" t="s">
        <v>47</v>
      </c>
      <c r="Y332" s="25" t="s">
        <v>48</v>
      </c>
      <c r="Z332" s="25" t="s">
        <v>49</v>
      </c>
      <c r="AA332" s="25" t="s">
        <v>970</v>
      </c>
      <c r="AB332" s="25" t="s">
        <v>719</v>
      </c>
      <c r="AC332" s="29"/>
      <c r="AD332" s="29"/>
      <c r="AE332" s="29"/>
      <c r="AF332" s="29"/>
      <c r="AG332" s="29"/>
      <c r="AH332" s="33" t="s">
        <v>1584</v>
      </c>
      <c r="AI332" s="33"/>
      <c r="AJ332" s="33"/>
      <c r="AK332" s="33"/>
    </row>
    <row r="333" ht="45.0" hidden="1" customHeight="1">
      <c r="A333" s="10">
        <v>332.0</v>
      </c>
      <c r="B333" s="46">
        <v>45498.0</v>
      </c>
      <c r="C333" s="25">
        <v>0.1</v>
      </c>
      <c r="D333" s="12">
        <f t="shared" si="11"/>
        <v>0</v>
      </c>
      <c r="E333" s="25" t="s">
        <v>1308</v>
      </c>
      <c r="F333" s="29"/>
      <c r="G333" s="30"/>
      <c r="H333" s="45" t="s">
        <v>1415</v>
      </c>
      <c r="I333" s="27">
        <v>1.0</v>
      </c>
      <c r="J333" s="28" t="s">
        <v>91</v>
      </c>
      <c r="K333" s="22">
        <v>45523.0</v>
      </c>
      <c r="L333" s="23" t="s">
        <v>53</v>
      </c>
      <c r="M333" s="25" t="s">
        <v>1599</v>
      </c>
      <c r="N333" s="25" t="s">
        <v>1600</v>
      </c>
      <c r="O333" s="25">
        <v>2400006.0</v>
      </c>
      <c r="P333" s="29"/>
      <c r="Q333" s="25" t="s">
        <v>129</v>
      </c>
      <c r="R333" s="25" t="s">
        <v>297</v>
      </c>
      <c r="S333" s="35">
        <v>2985.0</v>
      </c>
      <c r="T333" s="25"/>
      <c r="U333" s="25" t="s">
        <v>1601</v>
      </c>
      <c r="V333" s="25" t="s">
        <v>1602</v>
      </c>
      <c r="W333" s="29"/>
      <c r="X333" s="25" t="s">
        <v>47</v>
      </c>
      <c r="Y333" s="25" t="s">
        <v>48</v>
      </c>
      <c r="Z333" s="25" t="s">
        <v>102</v>
      </c>
      <c r="AA333" s="25" t="s">
        <v>970</v>
      </c>
      <c r="AB333" s="25" t="s">
        <v>1289</v>
      </c>
      <c r="AC333" s="29"/>
      <c r="AD333" s="29"/>
      <c r="AE333" s="29"/>
      <c r="AF333" s="29"/>
      <c r="AG333" s="29"/>
      <c r="AH333" s="33" t="s">
        <v>1584</v>
      </c>
      <c r="AI333" s="33"/>
      <c r="AJ333" s="33"/>
      <c r="AK333" s="33"/>
    </row>
    <row r="334" hidden="1">
      <c r="A334" s="10">
        <v>333.0</v>
      </c>
      <c r="B334" s="46">
        <v>45480.0</v>
      </c>
      <c r="C334" s="25">
        <v>0.1</v>
      </c>
      <c r="D334" s="12">
        <f t="shared" si="11"/>
        <v>0</v>
      </c>
      <c r="E334" s="25" t="s">
        <v>1308</v>
      </c>
      <c r="F334" s="29"/>
      <c r="G334" s="30"/>
      <c r="H334" s="45" t="s">
        <v>1165</v>
      </c>
      <c r="I334" s="27">
        <v>2.0</v>
      </c>
      <c r="J334" s="28" t="s">
        <v>91</v>
      </c>
      <c r="K334" s="22">
        <v>45526.0</v>
      </c>
      <c r="L334" s="23" t="s">
        <v>503</v>
      </c>
      <c r="M334" s="25" t="s">
        <v>547</v>
      </c>
      <c r="N334" s="25" t="s">
        <v>1603</v>
      </c>
      <c r="O334" s="25" t="s">
        <v>1522</v>
      </c>
      <c r="P334" s="25">
        <v>176895.0</v>
      </c>
      <c r="Q334" s="25" t="s">
        <v>171</v>
      </c>
      <c r="R334" s="25" t="s">
        <v>1273</v>
      </c>
      <c r="S334" s="25">
        <v>3555.0</v>
      </c>
      <c r="T334" s="25"/>
      <c r="U334" s="25" t="s">
        <v>1604</v>
      </c>
      <c r="V334" s="25" t="s">
        <v>1605</v>
      </c>
      <c r="W334" s="29"/>
      <c r="X334" s="25" t="s">
        <v>47</v>
      </c>
      <c r="Y334" s="25" t="s">
        <v>48</v>
      </c>
      <c r="Z334" s="25" t="s">
        <v>102</v>
      </c>
      <c r="AA334" s="25" t="s">
        <v>72</v>
      </c>
      <c r="AB334" s="25"/>
      <c r="AC334" s="29"/>
      <c r="AD334" s="29"/>
      <c r="AE334" s="29"/>
      <c r="AF334" s="29"/>
      <c r="AG334" s="29"/>
      <c r="AH334" s="33" t="s">
        <v>1584</v>
      </c>
      <c r="AI334" s="33"/>
      <c r="AJ334" s="33"/>
      <c r="AK334" s="33"/>
    </row>
    <row r="335" hidden="1">
      <c r="A335" s="10">
        <v>334.0</v>
      </c>
      <c r="B335" s="46">
        <v>45500.0</v>
      </c>
      <c r="C335" s="25">
        <v>0.1</v>
      </c>
      <c r="D335" s="12">
        <f t="shared" si="11"/>
        <v>0</v>
      </c>
      <c r="E335" s="25" t="s">
        <v>1308</v>
      </c>
      <c r="F335" s="29"/>
      <c r="G335" s="30"/>
      <c r="H335" s="45" t="s">
        <v>1165</v>
      </c>
      <c r="I335" s="27">
        <v>2.0</v>
      </c>
      <c r="J335" s="28" t="s">
        <v>91</v>
      </c>
      <c r="K335" s="22">
        <v>45535.0</v>
      </c>
      <c r="L335" s="23" t="s">
        <v>78</v>
      </c>
      <c r="M335" s="25" t="s">
        <v>1606</v>
      </c>
      <c r="N335" s="25" t="s">
        <v>1607</v>
      </c>
      <c r="O335" s="76"/>
      <c r="P335" s="25">
        <v>183789.0</v>
      </c>
      <c r="Q335" s="25" t="s">
        <v>80</v>
      </c>
      <c r="R335" s="25" t="s">
        <v>1608</v>
      </c>
      <c r="S335" s="25">
        <v>1150.0</v>
      </c>
      <c r="T335" s="25"/>
      <c r="U335" s="25" t="s">
        <v>1609</v>
      </c>
      <c r="V335" s="25" t="s">
        <v>1610</v>
      </c>
      <c r="W335" s="29"/>
      <c r="X335" s="25" t="s">
        <v>47</v>
      </c>
      <c r="Y335" s="25" t="s">
        <v>48</v>
      </c>
      <c r="Z335" s="25" t="s">
        <v>49</v>
      </c>
      <c r="AA335" s="25" t="s">
        <v>72</v>
      </c>
      <c r="AB335" s="25" t="s">
        <v>1149</v>
      </c>
      <c r="AC335" s="29"/>
      <c r="AD335" s="29"/>
      <c r="AE335" s="29"/>
      <c r="AF335" s="29"/>
      <c r="AG335" s="29"/>
      <c r="AH335" s="33" t="s">
        <v>1584</v>
      </c>
      <c r="AI335" s="33"/>
      <c r="AJ335" s="33"/>
      <c r="AK335" s="33"/>
    </row>
    <row r="336" hidden="1">
      <c r="A336" s="10">
        <v>335.0</v>
      </c>
      <c r="B336" s="31">
        <v>45510.0</v>
      </c>
      <c r="C336" s="25">
        <v>0.1</v>
      </c>
      <c r="D336" s="12">
        <f t="shared" si="11"/>
        <v>0</v>
      </c>
      <c r="E336" s="25" t="s">
        <v>1308</v>
      </c>
      <c r="F336" s="29"/>
      <c r="G336" s="30"/>
      <c r="H336" s="45" t="s">
        <v>1611</v>
      </c>
      <c r="I336" s="27">
        <v>1.0</v>
      </c>
      <c r="J336" s="28" t="s">
        <v>91</v>
      </c>
      <c r="K336" s="22">
        <v>45545.0</v>
      </c>
      <c r="L336" s="23" t="s">
        <v>78</v>
      </c>
      <c r="M336" s="25" t="s">
        <v>1612</v>
      </c>
      <c r="N336" s="25">
        <v>701.0</v>
      </c>
      <c r="O336" s="76"/>
      <c r="P336" s="25">
        <v>194697.0</v>
      </c>
      <c r="Q336" s="25" t="s">
        <v>80</v>
      </c>
      <c r="R336" s="25" t="s">
        <v>81</v>
      </c>
      <c r="S336" s="25">
        <v>1150.0</v>
      </c>
      <c r="T336" s="25"/>
      <c r="U336" s="25" t="s">
        <v>1613</v>
      </c>
      <c r="V336" s="25" t="s">
        <v>1614</v>
      </c>
      <c r="W336" s="29"/>
      <c r="X336" s="25" t="s">
        <v>47</v>
      </c>
      <c r="Y336" s="25" t="s">
        <v>48</v>
      </c>
      <c r="Z336" s="25" t="s">
        <v>49</v>
      </c>
      <c r="AA336" s="25" t="s">
        <v>72</v>
      </c>
      <c r="AB336" s="25" t="s">
        <v>1149</v>
      </c>
      <c r="AC336" s="29"/>
      <c r="AD336" s="29"/>
      <c r="AE336" s="29"/>
      <c r="AF336" s="29"/>
      <c r="AG336" s="29"/>
      <c r="AH336" s="33" t="s">
        <v>1584</v>
      </c>
      <c r="AI336" s="33"/>
      <c r="AJ336" s="33"/>
      <c r="AK336" s="33"/>
    </row>
    <row r="337" hidden="1">
      <c r="A337" s="10">
        <v>336.0</v>
      </c>
      <c r="B337" s="31">
        <v>45525.0</v>
      </c>
      <c r="C337" s="25">
        <v>0.1</v>
      </c>
      <c r="D337" s="12">
        <f t="shared" si="11"/>
        <v>0</v>
      </c>
      <c r="E337" s="25" t="s">
        <v>1308</v>
      </c>
      <c r="F337" s="29"/>
      <c r="G337" s="30"/>
      <c r="H337" s="45" t="s">
        <v>1611</v>
      </c>
      <c r="I337" s="27">
        <v>2.0</v>
      </c>
      <c r="J337" s="28" t="s">
        <v>91</v>
      </c>
      <c r="K337" s="22">
        <v>45545.0</v>
      </c>
      <c r="L337" s="23" t="s">
        <v>555</v>
      </c>
      <c r="M337" s="25" t="s">
        <v>810</v>
      </c>
      <c r="N337" s="25" t="s">
        <v>1615</v>
      </c>
      <c r="O337" s="76"/>
      <c r="P337" s="25">
        <v>190057.0</v>
      </c>
      <c r="Q337" s="25" t="s">
        <v>477</v>
      </c>
      <c r="R337" s="25" t="s">
        <v>559</v>
      </c>
      <c r="S337" s="25">
        <v>900.0</v>
      </c>
      <c r="T337" s="25"/>
      <c r="U337" s="25" t="s">
        <v>1616</v>
      </c>
      <c r="V337" s="25">
        <v>3.100033027E9</v>
      </c>
      <c r="W337" s="29"/>
      <c r="X337" s="25" t="s">
        <v>47</v>
      </c>
      <c r="Y337" s="25" t="s">
        <v>48</v>
      </c>
      <c r="Z337" s="25" t="s">
        <v>49</v>
      </c>
      <c r="AA337" s="25" t="s">
        <v>72</v>
      </c>
      <c r="AB337" s="25" t="s">
        <v>719</v>
      </c>
      <c r="AC337" s="29"/>
      <c r="AD337" s="29"/>
      <c r="AE337" s="29"/>
      <c r="AF337" s="29"/>
      <c r="AG337" s="29"/>
      <c r="AH337" s="33" t="s">
        <v>1584</v>
      </c>
      <c r="AI337" s="33"/>
      <c r="AJ337" s="33"/>
      <c r="AK337" s="33"/>
    </row>
    <row r="338" ht="42.75" hidden="1" customHeight="1">
      <c r="A338" s="10">
        <v>337.0</v>
      </c>
      <c r="B338" s="31">
        <v>45517.0</v>
      </c>
      <c r="C338" s="25">
        <v>0.1</v>
      </c>
      <c r="D338" s="12">
        <f t="shared" si="11"/>
        <v>0</v>
      </c>
      <c r="E338" s="25" t="s">
        <v>1308</v>
      </c>
      <c r="F338" s="29"/>
      <c r="G338" s="30"/>
      <c r="H338" s="45" t="s">
        <v>1415</v>
      </c>
      <c r="I338" s="27">
        <v>2.0</v>
      </c>
      <c r="J338" s="28" t="s">
        <v>1420</v>
      </c>
      <c r="K338" s="22">
        <v>45554.0</v>
      </c>
      <c r="L338" s="23" t="s">
        <v>140</v>
      </c>
      <c r="M338" s="25" t="s">
        <v>1617</v>
      </c>
      <c r="N338" s="25" t="s">
        <v>1618</v>
      </c>
      <c r="O338" s="25" t="s">
        <v>1619</v>
      </c>
      <c r="P338" s="59">
        <v>200448.0</v>
      </c>
      <c r="Q338" s="25" t="s">
        <v>80</v>
      </c>
      <c r="R338" s="25" t="s">
        <v>81</v>
      </c>
      <c r="S338" s="25">
        <v>1373.0</v>
      </c>
      <c r="T338" s="25"/>
      <c r="U338" s="25" t="s">
        <v>1620</v>
      </c>
      <c r="V338" s="25" t="s">
        <v>1621</v>
      </c>
      <c r="W338" s="29"/>
      <c r="X338" s="25" t="s">
        <v>47</v>
      </c>
      <c r="Y338" s="25" t="s">
        <v>48</v>
      </c>
      <c r="Z338" s="25" t="s">
        <v>49</v>
      </c>
      <c r="AA338" s="25" t="s">
        <v>72</v>
      </c>
      <c r="AB338" s="29"/>
      <c r="AC338" s="29"/>
      <c r="AD338" s="29"/>
      <c r="AE338" s="29"/>
      <c r="AF338" s="29"/>
      <c r="AG338" s="29"/>
      <c r="AH338" s="75"/>
      <c r="AI338" s="75"/>
      <c r="AJ338" s="75"/>
      <c r="AK338" s="75"/>
    </row>
    <row r="339" hidden="1">
      <c r="A339" s="10">
        <v>338.0</v>
      </c>
      <c r="B339" s="31">
        <v>45529.0</v>
      </c>
      <c r="C339" s="25">
        <v>0.1</v>
      </c>
      <c r="D339" s="12">
        <f t="shared" si="11"/>
        <v>0</v>
      </c>
      <c r="E339" s="25" t="s">
        <v>1308</v>
      </c>
      <c r="F339" s="29"/>
      <c r="G339" s="30"/>
      <c r="H339" s="45" t="s">
        <v>1165</v>
      </c>
      <c r="I339" s="27">
        <v>2.0</v>
      </c>
      <c r="J339" s="28" t="s">
        <v>91</v>
      </c>
      <c r="K339" s="22">
        <v>45556.0</v>
      </c>
      <c r="L339" s="23" t="s">
        <v>503</v>
      </c>
      <c r="M339" s="25" t="s">
        <v>1622</v>
      </c>
      <c r="N339" s="25" t="s">
        <v>1623</v>
      </c>
      <c r="O339" s="25" t="s">
        <v>1522</v>
      </c>
      <c r="P339" s="59">
        <v>200352.0</v>
      </c>
      <c r="Q339" s="25" t="s">
        <v>148</v>
      </c>
      <c r="R339" s="25" t="s">
        <v>149</v>
      </c>
      <c r="S339" s="25">
        <v>2275.0</v>
      </c>
      <c r="T339" s="25"/>
      <c r="U339" s="25" t="s">
        <v>1624</v>
      </c>
      <c r="V339" s="25" t="s">
        <v>1625</v>
      </c>
      <c r="W339" s="29"/>
      <c r="X339" s="25" t="s">
        <v>47</v>
      </c>
      <c r="Y339" s="25" t="s">
        <v>48</v>
      </c>
      <c r="Z339" s="25" t="s">
        <v>102</v>
      </c>
      <c r="AA339" s="25" t="s">
        <v>72</v>
      </c>
      <c r="AB339" s="29"/>
      <c r="AC339" s="29"/>
      <c r="AD339" s="29"/>
      <c r="AE339" s="29"/>
      <c r="AF339" s="29"/>
      <c r="AG339" s="29"/>
      <c r="AH339" s="33" t="s">
        <v>1584</v>
      </c>
      <c r="AI339" s="33"/>
      <c r="AJ339" s="33"/>
      <c r="AK339" s="33"/>
    </row>
    <row r="340" hidden="1">
      <c r="A340" s="10">
        <v>339.0</v>
      </c>
      <c r="B340" s="46">
        <v>45529.0</v>
      </c>
      <c r="C340" s="25">
        <v>0.1</v>
      </c>
      <c r="D340" s="12">
        <f t="shared" si="11"/>
        <v>0</v>
      </c>
      <c r="E340" s="42" t="s">
        <v>37</v>
      </c>
      <c r="F340" s="29"/>
      <c r="G340" s="30"/>
      <c r="H340" s="45" t="s">
        <v>1177</v>
      </c>
      <c r="I340" s="27">
        <v>6.0</v>
      </c>
      <c r="J340" s="28" t="s">
        <v>91</v>
      </c>
      <c r="K340" s="22">
        <v>45556.0</v>
      </c>
      <c r="L340" s="23" t="s">
        <v>250</v>
      </c>
      <c r="M340" s="25" t="s">
        <v>1334</v>
      </c>
      <c r="N340" s="25" t="s">
        <v>1626</v>
      </c>
      <c r="O340" s="25">
        <v>2400005.0</v>
      </c>
      <c r="P340" s="59">
        <v>199280.0</v>
      </c>
      <c r="Q340" s="29"/>
      <c r="R340" s="29"/>
      <c r="S340" s="25">
        <v>2573.0</v>
      </c>
      <c r="T340" s="25"/>
      <c r="U340" s="25" t="s">
        <v>1627</v>
      </c>
      <c r="V340" s="25" t="s">
        <v>1628</v>
      </c>
      <c r="W340" s="29"/>
      <c r="X340" s="25" t="s">
        <v>47</v>
      </c>
      <c r="Y340" s="25" t="s">
        <v>48</v>
      </c>
      <c r="Z340" s="25" t="s">
        <v>102</v>
      </c>
      <c r="AA340" s="25" t="s">
        <v>72</v>
      </c>
      <c r="AB340" s="29"/>
      <c r="AC340" s="29"/>
      <c r="AD340" s="29"/>
      <c r="AE340" s="29"/>
      <c r="AF340" s="29"/>
      <c r="AG340" s="29"/>
      <c r="AH340" s="33" t="s">
        <v>1584</v>
      </c>
      <c r="AI340" s="33"/>
      <c r="AJ340" s="33"/>
      <c r="AK340" s="33"/>
    </row>
    <row r="341" hidden="1">
      <c r="A341" s="10">
        <v>340.0</v>
      </c>
      <c r="B341" s="31">
        <v>45511.0</v>
      </c>
      <c r="C341" s="25">
        <v>0.1</v>
      </c>
      <c r="D341" s="12">
        <f t="shared" si="11"/>
        <v>0</v>
      </c>
      <c r="E341" s="25" t="s">
        <v>1308</v>
      </c>
      <c r="F341" s="29"/>
      <c r="G341" s="30"/>
      <c r="H341" s="45" t="s">
        <v>1165</v>
      </c>
      <c r="I341" s="27">
        <v>1.0</v>
      </c>
      <c r="J341" s="28" t="s">
        <v>1420</v>
      </c>
      <c r="K341" s="22">
        <v>45559.0</v>
      </c>
      <c r="L341" s="23" t="s">
        <v>53</v>
      </c>
      <c r="M341" s="25" t="s">
        <v>1629</v>
      </c>
      <c r="N341" s="25" t="s">
        <v>1630</v>
      </c>
      <c r="O341" s="25" t="s">
        <v>1631</v>
      </c>
      <c r="P341" s="25">
        <v>100987.0</v>
      </c>
      <c r="Q341" s="25" t="s">
        <v>67</v>
      </c>
      <c r="R341" s="25" t="s">
        <v>189</v>
      </c>
      <c r="S341" s="25">
        <v>2570.0</v>
      </c>
      <c r="T341" s="25"/>
      <c r="U341" s="25" t="s">
        <v>1632</v>
      </c>
      <c r="V341" s="25" t="s">
        <v>1633</v>
      </c>
      <c r="W341" s="29"/>
      <c r="X341" s="25" t="s">
        <v>47</v>
      </c>
      <c r="Y341" s="25" t="s">
        <v>120</v>
      </c>
      <c r="Z341" s="25" t="s">
        <v>49</v>
      </c>
      <c r="AA341" s="25" t="s">
        <v>72</v>
      </c>
      <c r="AB341" s="25" t="s">
        <v>1634</v>
      </c>
      <c r="AC341" s="29"/>
      <c r="AD341" s="29"/>
      <c r="AE341" s="29"/>
      <c r="AF341" s="29"/>
      <c r="AG341" s="29"/>
      <c r="AH341" s="33" t="s">
        <v>1584</v>
      </c>
      <c r="AI341" s="33"/>
      <c r="AJ341" s="33"/>
      <c r="AK341" s="33"/>
    </row>
    <row r="342" hidden="1">
      <c r="A342" s="10">
        <v>341.0</v>
      </c>
      <c r="B342" s="31">
        <v>45521.0</v>
      </c>
      <c r="C342" s="25">
        <v>0.1</v>
      </c>
      <c r="D342" s="12">
        <f t="shared" si="11"/>
        <v>0</v>
      </c>
      <c r="E342" s="25" t="s">
        <v>1308</v>
      </c>
      <c r="F342" s="29"/>
      <c r="G342" s="30"/>
      <c r="H342" s="45" t="s">
        <v>1165</v>
      </c>
      <c r="I342" s="27">
        <v>1.0</v>
      </c>
      <c r="J342" s="28" t="s">
        <v>91</v>
      </c>
      <c r="K342" s="22">
        <v>45560.0</v>
      </c>
      <c r="L342" s="23" t="s">
        <v>242</v>
      </c>
      <c r="M342" s="25" t="s">
        <v>1635</v>
      </c>
      <c r="N342" s="25">
        <v>9.0549217E7</v>
      </c>
      <c r="O342" s="25" t="s">
        <v>1553</v>
      </c>
      <c r="P342" s="25">
        <v>208296.0</v>
      </c>
      <c r="Q342" s="25" t="s">
        <v>246</v>
      </c>
      <c r="R342" s="25" t="s">
        <v>247</v>
      </c>
      <c r="S342" s="25">
        <v>4270.0</v>
      </c>
      <c r="T342" s="25"/>
      <c r="U342" s="25" t="s">
        <v>1636</v>
      </c>
      <c r="V342" s="25" t="s">
        <v>1637</v>
      </c>
      <c r="W342" s="29"/>
      <c r="X342" s="25" t="s">
        <v>47</v>
      </c>
      <c r="Y342" s="25" t="s">
        <v>120</v>
      </c>
      <c r="Z342" s="25" t="s">
        <v>102</v>
      </c>
      <c r="AA342" s="25" t="s">
        <v>72</v>
      </c>
      <c r="AB342" s="25" t="s">
        <v>719</v>
      </c>
      <c r="AC342" s="29"/>
      <c r="AD342" s="29"/>
      <c r="AE342" s="29"/>
      <c r="AF342" s="29"/>
      <c r="AG342" s="29"/>
      <c r="AH342" s="33" t="s">
        <v>1584</v>
      </c>
      <c r="AI342" s="33"/>
      <c r="AJ342" s="33"/>
      <c r="AK342" s="33"/>
    </row>
    <row r="343" hidden="1">
      <c r="A343" s="10">
        <v>342.0</v>
      </c>
      <c r="B343" s="31">
        <v>45529.0</v>
      </c>
      <c r="C343" s="25">
        <v>0.1</v>
      </c>
      <c r="D343" s="12">
        <f t="shared" si="11"/>
        <v>0</v>
      </c>
      <c r="E343" s="25" t="s">
        <v>1308</v>
      </c>
      <c r="F343" s="29"/>
      <c r="G343" s="30"/>
      <c r="H343" s="45" t="s">
        <v>1165</v>
      </c>
      <c r="I343" s="27">
        <v>1.0</v>
      </c>
      <c r="J343" s="28" t="s">
        <v>91</v>
      </c>
      <c r="K343" s="22">
        <v>45561.0</v>
      </c>
      <c r="L343" s="23" t="s">
        <v>503</v>
      </c>
      <c r="M343" s="25" t="s">
        <v>1622</v>
      </c>
      <c r="N343" s="25">
        <v>2.2446778E7</v>
      </c>
      <c r="O343" s="25" t="s">
        <v>1522</v>
      </c>
      <c r="P343" s="29"/>
      <c r="Q343" s="25" t="s">
        <v>148</v>
      </c>
      <c r="R343" s="25" t="s">
        <v>149</v>
      </c>
      <c r="S343" s="25">
        <v>2275.0</v>
      </c>
      <c r="T343" s="25"/>
      <c r="U343" s="25" t="s">
        <v>1638</v>
      </c>
      <c r="V343" s="29"/>
      <c r="W343" s="29"/>
      <c r="X343" s="25" t="s">
        <v>47</v>
      </c>
      <c r="Y343" s="25" t="s">
        <v>48</v>
      </c>
      <c r="Z343" s="25" t="s">
        <v>102</v>
      </c>
      <c r="AA343" s="25" t="s">
        <v>72</v>
      </c>
      <c r="AB343" s="25"/>
      <c r="AC343" s="29"/>
      <c r="AD343" s="29"/>
      <c r="AE343" s="29"/>
      <c r="AF343" s="29"/>
      <c r="AG343" s="29"/>
      <c r="AH343" s="33" t="s">
        <v>1584</v>
      </c>
      <c r="AI343" s="33"/>
      <c r="AJ343" s="33"/>
      <c r="AK343" s="33"/>
    </row>
    <row r="344" hidden="1">
      <c r="A344" s="10">
        <v>343.0</v>
      </c>
      <c r="B344" s="46">
        <v>45480.0</v>
      </c>
      <c r="C344" s="25">
        <v>0.1</v>
      </c>
      <c r="D344" s="12">
        <f t="shared" si="11"/>
        <v>0</v>
      </c>
      <c r="E344" s="25" t="s">
        <v>1308</v>
      </c>
      <c r="F344" s="29"/>
      <c r="G344" s="30"/>
      <c r="H344" s="45" t="s">
        <v>1165</v>
      </c>
      <c r="I344" s="27">
        <v>1.0</v>
      </c>
      <c r="J344" s="28" t="s">
        <v>1420</v>
      </c>
      <c r="K344" s="22">
        <v>45564.0</v>
      </c>
      <c r="L344" s="23" t="s">
        <v>38</v>
      </c>
      <c r="M344" s="25" t="s">
        <v>1639</v>
      </c>
      <c r="N344" s="25" t="s">
        <v>1640</v>
      </c>
      <c r="O344" s="25" t="s">
        <v>1641</v>
      </c>
      <c r="P344" s="25">
        <v>99226.0</v>
      </c>
      <c r="Q344" s="25" t="s">
        <v>67</v>
      </c>
      <c r="R344" s="25" t="s">
        <v>116</v>
      </c>
      <c r="S344" s="25">
        <v>3550.0</v>
      </c>
      <c r="T344" s="25"/>
      <c r="U344" s="25" t="s">
        <v>1642</v>
      </c>
      <c r="V344" s="25">
        <v>1.4140079632E11</v>
      </c>
      <c r="W344" s="29"/>
      <c r="X344" s="25" t="s">
        <v>47</v>
      </c>
      <c r="Y344" s="25" t="s">
        <v>120</v>
      </c>
      <c r="Z344" s="25" t="s">
        <v>49</v>
      </c>
      <c r="AA344" s="25" t="s">
        <v>72</v>
      </c>
      <c r="AB344" s="29"/>
      <c r="AC344" s="29"/>
      <c r="AD344" s="29"/>
      <c r="AE344" s="29"/>
      <c r="AF344" s="29"/>
      <c r="AG344" s="29"/>
      <c r="AH344" s="33" t="s">
        <v>1584</v>
      </c>
      <c r="AI344" s="33"/>
      <c r="AJ344" s="33"/>
      <c r="AK344" s="33"/>
    </row>
    <row r="345" hidden="1">
      <c r="A345" s="10">
        <v>344.0</v>
      </c>
      <c r="B345" s="31">
        <v>45521.0</v>
      </c>
      <c r="C345" s="25">
        <v>0.1</v>
      </c>
      <c r="D345" s="12">
        <f t="shared" si="11"/>
        <v>0</v>
      </c>
      <c r="E345" s="25" t="s">
        <v>1308</v>
      </c>
      <c r="F345" s="29"/>
      <c r="G345" s="30"/>
      <c r="H345" s="45" t="s">
        <v>1165</v>
      </c>
      <c r="I345" s="27">
        <v>1.0</v>
      </c>
      <c r="J345" s="28" t="s">
        <v>91</v>
      </c>
      <c r="K345" s="22">
        <v>45566.0</v>
      </c>
      <c r="L345" s="23" t="s">
        <v>242</v>
      </c>
      <c r="M345" s="25" t="s">
        <v>1635</v>
      </c>
      <c r="N345" s="25">
        <v>9.0549213E7</v>
      </c>
      <c r="O345" s="25" t="s">
        <v>1553</v>
      </c>
      <c r="P345" s="42">
        <v>212093.0</v>
      </c>
      <c r="Q345" s="25" t="s">
        <v>246</v>
      </c>
      <c r="R345" s="25" t="s">
        <v>247</v>
      </c>
      <c r="S345" s="25">
        <v>4623.0</v>
      </c>
      <c r="T345" s="25"/>
      <c r="U345" s="25" t="s">
        <v>1643</v>
      </c>
      <c r="V345" s="25" t="s">
        <v>1644</v>
      </c>
      <c r="W345" s="29"/>
      <c r="X345" s="25" t="s">
        <v>47</v>
      </c>
      <c r="Y345" s="25" t="s">
        <v>48</v>
      </c>
      <c r="Z345" s="25" t="s">
        <v>102</v>
      </c>
      <c r="AA345" s="25" t="s">
        <v>72</v>
      </c>
      <c r="AB345" s="25" t="s">
        <v>719</v>
      </c>
      <c r="AC345" s="29"/>
      <c r="AD345" s="29"/>
      <c r="AE345" s="29"/>
      <c r="AF345" s="29"/>
      <c r="AG345" s="29"/>
      <c r="AH345" s="33" t="s">
        <v>1584</v>
      </c>
      <c r="AI345" s="33"/>
      <c r="AJ345" s="33"/>
      <c r="AK345" s="33"/>
    </row>
    <row r="346" hidden="1">
      <c r="A346" s="10">
        <v>345.0</v>
      </c>
      <c r="B346" s="31">
        <v>45554.0</v>
      </c>
      <c r="C346" s="25">
        <v>0.1</v>
      </c>
      <c r="D346" s="12">
        <f t="shared" si="11"/>
        <v>0</v>
      </c>
      <c r="E346" s="25" t="s">
        <v>1308</v>
      </c>
      <c r="F346" s="29"/>
      <c r="G346" s="30"/>
      <c r="H346" s="45" t="s">
        <v>1415</v>
      </c>
      <c r="I346" s="23">
        <v>5.0</v>
      </c>
      <c r="J346" s="28" t="s">
        <v>91</v>
      </c>
      <c r="K346" s="22">
        <v>45568.0</v>
      </c>
      <c r="L346" s="23" t="s">
        <v>555</v>
      </c>
      <c r="M346" s="25" t="s">
        <v>1645</v>
      </c>
      <c r="N346" s="25" t="s">
        <v>1646</v>
      </c>
      <c r="O346" s="25" t="s">
        <v>1647</v>
      </c>
      <c r="P346" s="25">
        <v>211480.0</v>
      </c>
      <c r="Q346" s="25" t="s">
        <v>477</v>
      </c>
      <c r="R346" s="25" t="s">
        <v>559</v>
      </c>
      <c r="S346" s="25">
        <v>1850.0</v>
      </c>
      <c r="T346" s="25"/>
      <c r="U346" s="25" t="s">
        <v>1648</v>
      </c>
      <c r="V346" s="25" t="s">
        <v>1649</v>
      </c>
      <c r="W346" s="29"/>
      <c r="X346" s="25" t="s">
        <v>47</v>
      </c>
      <c r="Y346" s="25" t="s">
        <v>48</v>
      </c>
      <c r="Z346" s="25" t="s">
        <v>102</v>
      </c>
      <c r="AA346" s="25" t="s">
        <v>72</v>
      </c>
      <c r="AB346" s="25" t="s">
        <v>1149</v>
      </c>
      <c r="AC346" s="29"/>
      <c r="AD346" s="29"/>
      <c r="AE346" s="29"/>
      <c r="AF346" s="29"/>
      <c r="AG346" s="29"/>
      <c r="AH346" s="33" t="s">
        <v>1584</v>
      </c>
      <c r="AI346" s="33"/>
      <c r="AJ346" s="33"/>
      <c r="AK346" s="33"/>
    </row>
    <row r="347" hidden="1">
      <c r="A347" s="10">
        <v>346.0</v>
      </c>
      <c r="B347" s="31">
        <v>45551.0</v>
      </c>
      <c r="C347" s="25">
        <v>0.1</v>
      </c>
      <c r="D347" s="12">
        <f t="shared" si="11"/>
        <v>0</v>
      </c>
      <c r="E347" s="25" t="s">
        <v>1308</v>
      </c>
      <c r="F347" s="29"/>
      <c r="G347" s="30"/>
      <c r="H347" s="45" t="s">
        <v>1415</v>
      </c>
      <c r="I347" s="23">
        <v>5.0</v>
      </c>
      <c r="J347" s="28" t="s">
        <v>91</v>
      </c>
      <c r="K347" s="22">
        <v>45570.0</v>
      </c>
      <c r="L347" s="23" t="s">
        <v>555</v>
      </c>
      <c r="M347" s="25" t="s">
        <v>1650</v>
      </c>
      <c r="N347" s="25" t="s">
        <v>1651</v>
      </c>
      <c r="O347" s="25" t="s">
        <v>1647</v>
      </c>
      <c r="P347" s="25">
        <v>209781.0</v>
      </c>
      <c r="Q347" s="25" t="s">
        <v>477</v>
      </c>
      <c r="R347" s="25" t="s">
        <v>559</v>
      </c>
      <c r="S347" s="25">
        <v>1850.0</v>
      </c>
      <c r="T347" s="25"/>
      <c r="U347" s="25" t="s">
        <v>1652</v>
      </c>
      <c r="V347" s="25">
        <v>3.100037114E9</v>
      </c>
      <c r="W347" s="29"/>
      <c r="X347" s="25" t="s">
        <v>47</v>
      </c>
      <c r="Y347" s="25" t="s">
        <v>48</v>
      </c>
      <c r="Z347" s="25" t="s">
        <v>102</v>
      </c>
      <c r="AA347" s="25" t="s">
        <v>72</v>
      </c>
      <c r="AB347" s="25" t="s">
        <v>1149</v>
      </c>
      <c r="AC347" s="29"/>
      <c r="AD347" s="29"/>
      <c r="AE347" s="29"/>
      <c r="AF347" s="29"/>
      <c r="AG347" s="29"/>
      <c r="AH347" s="33" t="s">
        <v>1584</v>
      </c>
      <c r="AI347" s="33"/>
      <c r="AJ347" s="33"/>
      <c r="AK347" s="33"/>
    </row>
    <row r="348" hidden="1">
      <c r="A348" s="10">
        <v>347.0</v>
      </c>
      <c r="B348" s="31">
        <v>45551.0</v>
      </c>
      <c r="C348" s="25">
        <v>0.1</v>
      </c>
      <c r="D348" s="12">
        <f t="shared" si="11"/>
        <v>0</v>
      </c>
      <c r="E348" s="25" t="s">
        <v>1308</v>
      </c>
      <c r="F348" s="29"/>
      <c r="G348" s="30"/>
      <c r="H348" s="45" t="s">
        <v>1415</v>
      </c>
      <c r="I348" s="27">
        <v>3.0</v>
      </c>
      <c r="J348" s="28" t="s">
        <v>91</v>
      </c>
      <c r="K348" s="22">
        <v>45573.0</v>
      </c>
      <c r="L348" s="23" t="s">
        <v>727</v>
      </c>
      <c r="M348" s="25" t="s">
        <v>1160</v>
      </c>
      <c r="N348" s="25" t="s">
        <v>1653</v>
      </c>
      <c r="O348" s="25" t="s">
        <v>1654</v>
      </c>
      <c r="P348" s="25">
        <v>209803.0</v>
      </c>
      <c r="Q348" s="25" t="s">
        <v>477</v>
      </c>
      <c r="R348" s="25" t="s">
        <v>559</v>
      </c>
      <c r="S348" s="25">
        <v>1850.0</v>
      </c>
      <c r="T348" s="25"/>
      <c r="U348" s="25" t="s">
        <v>1655</v>
      </c>
      <c r="V348" s="25">
        <v>3.100037568E9</v>
      </c>
      <c r="W348" s="29"/>
      <c r="X348" s="25" t="s">
        <v>47</v>
      </c>
      <c r="Y348" s="25" t="s">
        <v>120</v>
      </c>
      <c r="Z348" s="25" t="s">
        <v>102</v>
      </c>
      <c r="AA348" s="25" t="s">
        <v>72</v>
      </c>
      <c r="AB348" s="25" t="s">
        <v>1149</v>
      </c>
      <c r="AC348" s="29"/>
      <c r="AD348" s="29"/>
      <c r="AE348" s="29"/>
      <c r="AF348" s="29"/>
      <c r="AG348" s="29"/>
      <c r="AH348" s="33" t="s">
        <v>1584</v>
      </c>
      <c r="AI348" s="33"/>
      <c r="AJ348" s="33"/>
      <c r="AK348" s="33"/>
    </row>
    <row r="349" hidden="1">
      <c r="A349" s="10">
        <v>348.0</v>
      </c>
      <c r="B349" s="31">
        <v>45547.0</v>
      </c>
      <c r="C349" s="25">
        <v>0.1</v>
      </c>
      <c r="D349" s="12">
        <f t="shared" si="11"/>
        <v>0</v>
      </c>
      <c r="E349" s="25" t="s">
        <v>37</v>
      </c>
      <c r="F349" s="29"/>
      <c r="G349" s="30"/>
      <c r="H349" s="45" t="s">
        <v>1177</v>
      </c>
      <c r="I349" s="27">
        <v>1.0</v>
      </c>
      <c r="J349" s="28" t="s">
        <v>91</v>
      </c>
      <c r="K349" s="22">
        <v>45574.0</v>
      </c>
      <c r="L349" s="23" t="s">
        <v>503</v>
      </c>
      <c r="M349" s="25" t="s">
        <v>547</v>
      </c>
      <c r="N349" s="25">
        <v>2404389.0</v>
      </c>
      <c r="O349" s="25" t="s">
        <v>1522</v>
      </c>
      <c r="P349" s="25">
        <v>217053.0</v>
      </c>
      <c r="Q349" s="25" t="s">
        <v>171</v>
      </c>
      <c r="R349" s="25" t="s">
        <v>1273</v>
      </c>
      <c r="S349" s="78">
        <v>2250.0</v>
      </c>
      <c r="T349" s="25"/>
      <c r="U349" s="25" t="s">
        <v>1656</v>
      </c>
      <c r="V349" s="25" t="s">
        <v>1657</v>
      </c>
      <c r="W349" s="29"/>
      <c r="X349" s="25" t="s">
        <v>47</v>
      </c>
      <c r="Y349" s="25" t="s">
        <v>48</v>
      </c>
      <c r="Z349" s="25" t="s">
        <v>102</v>
      </c>
      <c r="AA349" s="25" t="s">
        <v>72</v>
      </c>
      <c r="AB349" s="29"/>
      <c r="AC349" s="29"/>
      <c r="AD349" s="29"/>
      <c r="AE349" s="29"/>
      <c r="AF349" s="29"/>
      <c r="AG349" s="29"/>
      <c r="AH349" s="33" t="s">
        <v>1584</v>
      </c>
      <c r="AI349" s="33"/>
      <c r="AJ349" s="33"/>
      <c r="AK349" s="33"/>
    </row>
    <row r="350" hidden="1">
      <c r="A350" s="10">
        <v>349.0</v>
      </c>
      <c r="B350" s="72">
        <v>45495.0</v>
      </c>
      <c r="C350" s="25">
        <v>0.1</v>
      </c>
      <c r="D350" s="12">
        <f t="shared" si="11"/>
        <v>0</v>
      </c>
      <c r="E350" s="25" t="s">
        <v>37</v>
      </c>
      <c r="F350" s="29"/>
      <c r="G350" s="30"/>
      <c r="H350" s="45" t="s">
        <v>1177</v>
      </c>
      <c r="I350" s="27" t="s">
        <v>1658</v>
      </c>
      <c r="J350" s="28" t="s">
        <v>91</v>
      </c>
      <c r="K350" s="22">
        <v>45575.0</v>
      </c>
      <c r="L350" s="23" t="s">
        <v>1478</v>
      </c>
      <c r="M350" s="25" t="s">
        <v>1659</v>
      </c>
      <c r="N350" s="25" t="s">
        <v>1660</v>
      </c>
      <c r="O350" s="25" t="s">
        <v>1661</v>
      </c>
      <c r="P350" s="25">
        <v>112412.0</v>
      </c>
      <c r="Q350" s="25" t="s">
        <v>246</v>
      </c>
      <c r="R350" s="25" t="s">
        <v>1482</v>
      </c>
      <c r="S350" s="25">
        <v>1250.0</v>
      </c>
      <c r="T350" s="25"/>
      <c r="U350" s="25" t="s">
        <v>1662</v>
      </c>
      <c r="V350" s="25">
        <v>1.0827508E7</v>
      </c>
      <c r="W350" s="29"/>
      <c r="X350" s="25" t="s">
        <v>1023</v>
      </c>
      <c r="Y350" s="25" t="s">
        <v>1663</v>
      </c>
      <c r="Z350" s="25" t="s">
        <v>102</v>
      </c>
      <c r="AA350" s="25" t="s">
        <v>72</v>
      </c>
      <c r="AB350" s="25" t="s">
        <v>1149</v>
      </c>
      <c r="AC350" s="29"/>
      <c r="AD350" s="29"/>
      <c r="AE350" s="25"/>
      <c r="AF350" s="25" t="s">
        <v>1664</v>
      </c>
      <c r="AG350" s="29"/>
      <c r="AH350" s="33" t="s">
        <v>1584</v>
      </c>
      <c r="AI350" s="33"/>
      <c r="AJ350" s="33"/>
      <c r="AK350" s="33"/>
    </row>
    <row r="351" hidden="1">
      <c r="A351" s="10">
        <v>350.0</v>
      </c>
      <c r="B351" s="31">
        <v>45505.0</v>
      </c>
      <c r="C351" s="25">
        <v>0.1</v>
      </c>
      <c r="D351" s="12">
        <f t="shared" si="11"/>
        <v>0</v>
      </c>
      <c r="E351" s="25" t="s">
        <v>1308</v>
      </c>
      <c r="F351" s="29"/>
      <c r="G351" s="30"/>
      <c r="H351" s="45" t="s">
        <v>1165</v>
      </c>
      <c r="I351" s="27">
        <v>3.0</v>
      </c>
      <c r="J351" s="28" t="s">
        <v>91</v>
      </c>
      <c r="K351" s="22">
        <v>45578.0</v>
      </c>
      <c r="L351" s="23" t="s">
        <v>157</v>
      </c>
      <c r="M351" s="76"/>
      <c r="N351" s="25" t="s">
        <v>1665</v>
      </c>
      <c r="O351" s="76"/>
      <c r="P351" s="25">
        <v>109849.0</v>
      </c>
      <c r="Q351" s="25" t="s">
        <v>160</v>
      </c>
      <c r="R351" s="25" t="s">
        <v>161</v>
      </c>
      <c r="S351" s="25" t="s">
        <v>165</v>
      </c>
      <c r="T351" s="25"/>
      <c r="U351" s="25" t="s">
        <v>1666</v>
      </c>
      <c r="V351" s="29"/>
      <c r="W351" s="29"/>
      <c r="X351" s="25" t="s">
        <v>47</v>
      </c>
      <c r="Y351" s="25" t="s">
        <v>48</v>
      </c>
      <c r="Z351" s="25" t="s">
        <v>524</v>
      </c>
      <c r="AA351" s="25" t="s">
        <v>72</v>
      </c>
      <c r="AB351" s="25" t="s">
        <v>165</v>
      </c>
      <c r="AC351" s="29"/>
      <c r="AD351" s="29"/>
      <c r="AE351" s="29"/>
      <c r="AF351" s="29"/>
      <c r="AG351" s="29"/>
      <c r="AH351" s="33" t="s">
        <v>1584</v>
      </c>
      <c r="AI351" s="33"/>
      <c r="AJ351" s="33"/>
      <c r="AK351" s="33"/>
    </row>
    <row r="352" hidden="1">
      <c r="A352" s="10">
        <v>351.0</v>
      </c>
      <c r="B352" s="31">
        <v>45560.0</v>
      </c>
      <c r="C352" s="25">
        <v>0.1</v>
      </c>
      <c r="D352" s="12">
        <f t="shared" si="11"/>
        <v>0</v>
      </c>
      <c r="E352" s="25" t="s">
        <v>1308</v>
      </c>
      <c r="F352" s="29"/>
      <c r="G352" s="30"/>
      <c r="H352" s="45" t="s">
        <v>1165</v>
      </c>
      <c r="I352" s="27">
        <v>5.0</v>
      </c>
      <c r="J352" s="28" t="s">
        <v>91</v>
      </c>
      <c r="K352" s="22">
        <v>45581.0</v>
      </c>
      <c r="L352" s="23" t="s">
        <v>555</v>
      </c>
      <c r="M352" s="25" t="s">
        <v>1645</v>
      </c>
      <c r="N352" s="25" t="s">
        <v>1667</v>
      </c>
      <c r="O352" s="25" t="s">
        <v>1647</v>
      </c>
      <c r="P352" s="25">
        <v>221979.0</v>
      </c>
      <c r="Q352" s="25" t="s">
        <v>477</v>
      </c>
      <c r="R352" s="25" t="s">
        <v>1668</v>
      </c>
      <c r="S352" s="25">
        <v>1350.0</v>
      </c>
      <c r="T352" s="25"/>
      <c r="U352" s="25" t="s">
        <v>1669</v>
      </c>
      <c r="V352" s="25" t="s">
        <v>1670</v>
      </c>
      <c r="W352" s="29"/>
      <c r="X352" s="25" t="s">
        <v>47</v>
      </c>
      <c r="Y352" s="25" t="s">
        <v>48</v>
      </c>
      <c r="Z352" s="25" t="s">
        <v>102</v>
      </c>
      <c r="AA352" s="25" t="s">
        <v>72</v>
      </c>
      <c r="AB352" s="25" t="s">
        <v>1671</v>
      </c>
      <c r="AC352" s="29"/>
      <c r="AD352" s="29"/>
      <c r="AE352" s="29"/>
      <c r="AF352" s="29"/>
      <c r="AG352" s="29"/>
      <c r="AH352" s="33" t="s">
        <v>1584</v>
      </c>
      <c r="AI352" s="33"/>
      <c r="AJ352" s="33"/>
      <c r="AK352" s="33"/>
    </row>
    <row r="353" hidden="1">
      <c r="A353" s="10">
        <v>352.0</v>
      </c>
      <c r="B353" s="31">
        <v>45584.0</v>
      </c>
      <c r="C353" s="25">
        <v>0.1</v>
      </c>
      <c r="D353" s="12">
        <f t="shared" si="11"/>
        <v>0</v>
      </c>
      <c r="E353" s="25" t="s">
        <v>1308</v>
      </c>
      <c r="F353" s="29"/>
      <c r="G353" s="30"/>
      <c r="H353" s="45" t="s">
        <v>1165</v>
      </c>
      <c r="I353" s="27">
        <v>1.0</v>
      </c>
      <c r="J353" s="28" t="s">
        <v>91</v>
      </c>
      <c r="K353" s="22">
        <v>45607.0</v>
      </c>
      <c r="L353" s="23" t="s">
        <v>270</v>
      </c>
      <c r="M353" s="25" t="s">
        <v>1672</v>
      </c>
      <c r="N353" s="25">
        <v>5.70291168E8</v>
      </c>
      <c r="O353" s="25" t="s">
        <v>1673</v>
      </c>
      <c r="P353" s="25">
        <v>247863.0</v>
      </c>
      <c r="Q353" s="25" t="s">
        <v>171</v>
      </c>
      <c r="R353" s="25" t="s">
        <v>1273</v>
      </c>
      <c r="S353" s="25">
        <v>2250.0</v>
      </c>
      <c r="T353" s="25"/>
      <c r="U353" s="25" t="s">
        <v>1674</v>
      </c>
      <c r="V353" s="25" t="s">
        <v>1675</v>
      </c>
      <c r="W353" s="29"/>
      <c r="X353" s="25" t="s">
        <v>47</v>
      </c>
      <c r="Y353" s="25" t="s">
        <v>48</v>
      </c>
      <c r="Z353" s="25" t="s">
        <v>102</v>
      </c>
      <c r="AA353" s="25" t="s">
        <v>970</v>
      </c>
      <c r="AB353" s="25" t="s">
        <v>1149</v>
      </c>
      <c r="AC353" s="29"/>
      <c r="AD353" s="29"/>
      <c r="AE353" s="29"/>
      <c r="AF353" s="29"/>
      <c r="AG353" s="29"/>
      <c r="AH353" s="33" t="s">
        <v>1584</v>
      </c>
      <c r="AI353" s="33"/>
      <c r="AJ353" s="33"/>
      <c r="AK353" s="33"/>
    </row>
    <row r="354" hidden="1">
      <c r="A354" s="10">
        <v>353.0</v>
      </c>
      <c r="B354" s="31">
        <v>45569.0</v>
      </c>
      <c r="C354" s="25">
        <v>0.1</v>
      </c>
      <c r="D354" s="12">
        <f t="shared" si="11"/>
        <v>0</v>
      </c>
      <c r="E354" s="25" t="s">
        <v>1308</v>
      </c>
      <c r="F354" s="29"/>
      <c r="G354" s="30"/>
      <c r="H354" s="45" t="s">
        <v>1165</v>
      </c>
      <c r="I354" s="23">
        <v>1.0</v>
      </c>
      <c r="J354" s="28" t="s">
        <v>91</v>
      </c>
      <c r="K354" s="22">
        <v>45609.0</v>
      </c>
      <c r="L354" s="23" t="s">
        <v>78</v>
      </c>
      <c r="M354" s="25" t="s">
        <v>1676</v>
      </c>
      <c r="N354" s="25">
        <v>838.0</v>
      </c>
      <c r="O354" s="76"/>
      <c r="P354" s="25">
        <v>249341.0</v>
      </c>
      <c r="Q354" s="25" t="s">
        <v>80</v>
      </c>
      <c r="R354" s="25" t="s">
        <v>1608</v>
      </c>
      <c r="S354" s="25">
        <v>1050.0</v>
      </c>
      <c r="T354" s="25"/>
      <c r="U354" s="25" t="s">
        <v>1677</v>
      </c>
      <c r="V354" s="25" t="s">
        <v>1678</v>
      </c>
      <c r="W354" s="25" t="s">
        <v>1679</v>
      </c>
      <c r="X354" s="25" t="s">
        <v>47</v>
      </c>
      <c r="Y354" s="25" t="s">
        <v>48</v>
      </c>
      <c r="Z354" s="25" t="s">
        <v>49</v>
      </c>
      <c r="AA354" s="25" t="s">
        <v>970</v>
      </c>
      <c r="AB354" s="25" t="s">
        <v>1671</v>
      </c>
      <c r="AC354" s="29"/>
      <c r="AD354" s="29"/>
      <c r="AE354" s="29"/>
      <c r="AF354" s="29"/>
      <c r="AG354" s="29"/>
      <c r="AH354" s="33" t="s">
        <v>1584</v>
      </c>
      <c r="AI354" s="33"/>
      <c r="AJ354" s="33"/>
      <c r="AK354" s="33"/>
    </row>
    <row r="355" hidden="1">
      <c r="A355" s="10">
        <v>354.0</v>
      </c>
      <c r="B355" s="31">
        <v>45594.0</v>
      </c>
      <c r="C355" s="25">
        <v>0.1</v>
      </c>
      <c r="D355" s="12">
        <f t="shared" si="11"/>
        <v>0</v>
      </c>
      <c r="E355" s="25" t="s">
        <v>1308</v>
      </c>
      <c r="F355" s="29"/>
      <c r="G355" s="30"/>
      <c r="H355" s="45" t="s">
        <v>1165</v>
      </c>
      <c r="I355" s="23">
        <v>5.0</v>
      </c>
      <c r="J355" s="28" t="s">
        <v>91</v>
      </c>
      <c r="K355" s="22">
        <v>45609.0</v>
      </c>
      <c r="L355" s="23" t="s">
        <v>555</v>
      </c>
      <c r="M355" s="25" t="s">
        <v>1645</v>
      </c>
      <c r="N355" s="25" t="s">
        <v>1680</v>
      </c>
      <c r="O355" s="25" t="s">
        <v>1647</v>
      </c>
      <c r="P355" s="25">
        <v>247758.0</v>
      </c>
      <c r="Q355" s="25" t="s">
        <v>477</v>
      </c>
      <c r="R355" s="25" t="s">
        <v>1668</v>
      </c>
      <c r="S355" s="25">
        <v>1350.0</v>
      </c>
      <c r="T355" s="25"/>
      <c r="U355" s="25" t="s">
        <v>1681</v>
      </c>
      <c r="V355" s="25">
        <v>3.100044845E9</v>
      </c>
      <c r="W355" s="29"/>
      <c r="X355" s="25" t="s">
        <v>47</v>
      </c>
      <c r="Y355" s="25" t="s">
        <v>48</v>
      </c>
      <c r="Z355" s="25" t="s">
        <v>102</v>
      </c>
      <c r="AA355" s="25" t="s">
        <v>72</v>
      </c>
      <c r="AB355" s="25" t="s">
        <v>1671</v>
      </c>
      <c r="AC355" s="29"/>
      <c r="AD355" s="29"/>
      <c r="AE355" s="29"/>
      <c r="AF355" s="29"/>
      <c r="AG355" s="29"/>
      <c r="AH355" s="33" t="s">
        <v>1584</v>
      </c>
      <c r="AI355" s="33"/>
      <c r="AJ355" s="33"/>
      <c r="AK355" s="33"/>
    </row>
    <row r="356" hidden="1">
      <c r="A356" s="10">
        <v>355.0</v>
      </c>
      <c r="B356" s="31">
        <v>45588.0</v>
      </c>
      <c r="C356" s="25">
        <v>0.1</v>
      </c>
      <c r="D356" s="12">
        <f t="shared" si="11"/>
        <v>0</v>
      </c>
      <c r="E356" s="25" t="s">
        <v>1308</v>
      </c>
      <c r="F356" s="29"/>
      <c r="G356" s="30"/>
      <c r="H356" s="45" t="s">
        <v>1165</v>
      </c>
      <c r="I356" s="23">
        <v>5.0</v>
      </c>
      <c r="J356" s="28" t="s">
        <v>91</v>
      </c>
      <c r="K356" s="22">
        <v>45610.0</v>
      </c>
      <c r="L356" s="23" t="s">
        <v>555</v>
      </c>
      <c r="M356" s="25" t="s">
        <v>1682</v>
      </c>
      <c r="N356" s="25" t="s">
        <v>1683</v>
      </c>
      <c r="O356" s="25" t="s">
        <v>1647</v>
      </c>
      <c r="P356" s="25">
        <v>245050.0</v>
      </c>
      <c r="Q356" s="25" t="s">
        <v>477</v>
      </c>
      <c r="R356" s="25" t="s">
        <v>1668</v>
      </c>
      <c r="S356" s="25">
        <v>1350.0</v>
      </c>
      <c r="T356" s="25"/>
      <c r="U356" s="25" t="s">
        <v>1684</v>
      </c>
      <c r="V356" s="25">
        <v>3.100044158E9</v>
      </c>
      <c r="W356" s="29"/>
      <c r="X356" s="25" t="s">
        <v>47</v>
      </c>
      <c r="Y356" s="25" t="s">
        <v>48</v>
      </c>
      <c r="Z356" s="25" t="s">
        <v>102</v>
      </c>
      <c r="AA356" s="25" t="s">
        <v>72</v>
      </c>
      <c r="AB356" s="25" t="s">
        <v>1671</v>
      </c>
      <c r="AC356" s="29"/>
      <c r="AD356" s="29"/>
      <c r="AE356" s="29"/>
      <c r="AF356" s="29"/>
      <c r="AG356" s="29"/>
      <c r="AH356" s="33" t="s">
        <v>1584</v>
      </c>
      <c r="AI356" s="33"/>
      <c r="AJ356" s="33"/>
      <c r="AK356" s="33"/>
    </row>
    <row r="357" hidden="1">
      <c r="A357" s="10">
        <v>356.0</v>
      </c>
      <c r="B357" s="31">
        <v>45565.0</v>
      </c>
      <c r="C357" s="25">
        <v>0.1</v>
      </c>
      <c r="D357" s="12">
        <f t="shared" si="11"/>
        <v>0</v>
      </c>
      <c r="E357" s="25" t="s">
        <v>1308</v>
      </c>
      <c r="F357" s="29"/>
      <c r="G357" s="30"/>
      <c r="H357" s="45" t="s">
        <v>1165</v>
      </c>
      <c r="I357" s="27">
        <v>1.0</v>
      </c>
      <c r="J357" s="28" t="s">
        <v>1420</v>
      </c>
      <c r="K357" s="22">
        <v>45612.0</v>
      </c>
      <c r="L357" s="23" t="s">
        <v>38</v>
      </c>
      <c r="M357" s="25" t="s">
        <v>1685</v>
      </c>
      <c r="N357" s="25" t="s">
        <v>1686</v>
      </c>
      <c r="O357" s="25" t="s">
        <v>1687</v>
      </c>
      <c r="P357" s="25">
        <v>122062.0</v>
      </c>
      <c r="Q357" s="25" t="s">
        <v>42</v>
      </c>
      <c r="R357" s="25" t="s">
        <v>43</v>
      </c>
      <c r="S357" s="25">
        <v>1700.0</v>
      </c>
      <c r="T357" s="25"/>
      <c r="U357" s="25" t="s">
        <v>1688</v>
      </c>
      <c r="V357" s="29"/>
      <c r="W357" s="29"/>
      <c r="X357" s="25" t="s">
        <v>47</v>
      </c>
      <c r="Y357" s="25" t="s">
        <v>120</v>
      </c>
      <c r="Z357" s="25" t="s">
        <v>49</v>
      </c>
      <c r="AA357" s="25" t="s">
        <v>72</v>
      </c>
      <c r="AB357" s="25" t="s">
        <v>138</v>
      </c>
      <c r="AC357" s="29"/>
      <c r="AD357" s="29"/>
      <c r="AE357" s="29"/>
      <c r="AF357" s="29"/>
      <c r="AG357" s="29"/>
      <c r="AH357" s="33" t="s">
        <v>1584</v>
      </c>
      <c r="AI357" s="33"/>
      <c r="AJ357" s="33"/>
      <c r="AK357" s="33"/>
    </row>
    <row r="358" hidden="1">
      <c r="A358" s="10">
        <v>357.0</v>
      </c>
      <c r="B358" s="31">
        <v>45543.0</v>
      </c>
      <c r="C358" s="25">
        <v>0.1</v>
      </c>
      <c r="D358" s="12">
        <f t="shared" si="11"/>
        <v>0</v>
      </c>
      <c r="E358" s="25" t="s">
        <v>1308</v>
      </c>
      <c r="F358" s="29"/>
      <c r="G358" s="30"/>
      <c r="H358" s="45" t="s">
        <v>1165</v>
      </c>
      <c r="I358" s="23" t="s">
        <v>1689</v>
      </c>
      <c r="J358" s="28" t="s">
        <v>91</v>
      </c>
      <c r="K358" s="22">
        <v>45619.0</v>
      </c>
      <c r="L358" s="23" t="s">
        <v>38</v>
      </c>
      <c r="M358" s="25" t="s">
        <v>1690</v>
      </c>
      <c r="N358" s="25" t="s">
        <v>1691</v>
      </c>
      <c r="O358" s="76"/>
      <c r="P358" s="25">
        <v>130867.0</v>
      </c>
      <c r="Q358" s="25" t="s">
        <v>67</v>
      </c>
      <c r="R358" s="25" t="s">
        <v>111</v>
      </c>
      <c r="S358" s="25">
        <v>1700.0</v>
      </c>
      <c r="T358" s="29"/>
      <c r="U358" s="29"/>
      <c r="V358" s="29"/>
      <c r="W358" s="29"/>
      <c r="X358" s="25" t="s">
        <v>47</v>
      </c>
      <c r="Y358" s="25" t="s">
        <v>1689</v>
      </c>
      <c r="Z358" s="25" t="s">
        <v>49</v>
      </c>
      <c r="AA358" s="25" t="s">
        <v>72</v>
      </c>
      <c r="AB358" s="25" t="s">
        <v>1276</v>
      </c>
      <c r="AC358" s="29"/>
      <c r="AD358" s="29"/>
      <c r="AE358" s="29"/>
      <c r="AF358" s="29"/>
      <c r="AG358" s="29"/>
      <c r="AH358" s="33" t="s">
        <v>1584</v>
      </c>
      <c r="AI358" s="33"/>
      <c r="AJ358" s="33"/>
      <c r="AK358" s="33"/>
    </row>
    <row r="359" hidden="1">
      <c r="A359" s="10">
        <v>358.0</v>
      </c>
      <c r="B359" s="31">
        <v>45595.0</v>
      </c>
      <c r="C359" s="25">
        <v>0.1</v>
      </c>
      <c r="D359" s="12">
        <f t="shared" si="11"/>
        <v>0</v>
      </c>
      <c r="E359" s="25" t="s">
        <v>1308</v>
      </c>
      <c r="F359" s="29"/>
      <c r="G359" s="30"/>
      <c r="H359" s="45" t="s">
        <v>1165</v>
      </c>
      <c r="I359" s="23">
        <v>7.0</v>
      </c>
      <c r="J359" s="28" t="s">
        <v>91</v>
      </c>
      <c r="K359" s="22">
        <v>45619.0</v>
      </c>
      <c r="L359" s="23" t="s">
        <v>270</v>
      </c>
      <c r="M359" s="25" t="s">
        <v>1692</v>
      </c>
      <c r="N359" s="25" t="s">
        <v>1693</v>
      </c>
      <c r="O359" s="25" t="s">
        <v>1694</v>
      </c>
      <c r="P359" s="25">
        <v>257198.0</v>
      </c>
      <c r="Q359" s="25" t="s">
        <v>274</v>
      </c>
      <c r="R359" s="25" t="s">
        <v>275</v>
      </c>
      <c r="S359" s="25">
        <v>2725.0</v>
      </c>
      <c r="T359" s="25"/>
      <c r="U359" s="25" t="s">
        <v>1695</v>
      </c>
      <c r="V359" s="25" t="s">
        <v>1696</v>
      </c>
      <c r="W359" s="29"/>
      <c r="X359" s="25" t="s">
        <v>47</v>
      </c>
      <c r="Y359" s="25" t="s">
        <v>48</v>
      </c>
      <c r="Z359" s="25" t="s">
        <v>102</v>
      </c>
      <c r="AA359" s="25" t="s">
        <v>970</v>
      </c>
      <c r="AB359" s="25" t="s">
        <v>1410</v>
      </c>
      <c r="AC359" s="29"/>
      <c r="AD359" s="29"/>
      <c r="AE359" s="29"/>
      <c r="AF359" s="29"/>
      <c r="AG359" s="29"/>
      <c r="AH359" s="33"/>
      <c r="AI359" s="33"/>
      <c r="AJ359" s="33"/>
      <c r="AK359" s="33"/>
    </row>
    <row r="360" hidden="1">
      <c r="A360" s="10">
        <v>359.0</v>
      </c>
      <c r="B360" s="31">
        <v>45558.0</v>
      </c>
      <c r="C360" s="25">
        <v>0.1</v>
      </c>
      <c r="D360" s="12">
        <f t="shared" si="11"/>
        <v>0</v>
      </c>
      <c r="E360" s="25" t="s">
        <v>1308</v>
      </c>
      <c r="F360" s="29"/>
      <c r="G360" s="30"/>
      <c r="H360" s="45" t="s">
        <v>1165</v>
      </c>
      <c r="I360" s="27">
        <v>3.0</v>
      </c>
      <c r="J360" s="28" t="s">
        <v>1420</v>
      </c>
      <c r="K360" s="22">
        <v>45620.0</v>
      </c>
      <c r="L360" s="23" t="s">
        <v>38</v>
      </c>
      <c r="M360" s="25" t="s">
        <v>1697</v>
      </c>
      <c r="N360" s="25" t="s">
        <v>1698</v>
      </c>
      <c r="O360" s="25" t="s">
        <v>1699</v>
      </c>
      <c r="P360" s="25">
        <v>126319.0</v>
      </c>
      <c r="Q360" s="25" t="s">
        <v>42</v>
      </c>
      <c r="R360" s="25" t="s">
        <v>43</v>
      </c>
      <c r="S360" s="25">
        <v>3580.0</v>
      </c>
      <c r="T360" s="25"/>
      <c r="U360" s="25" t="s">
        <v>1700</v>
      </c>
      <c r="V360" s="29"/>
      <c r="W360" s="29"/>
      <c r="X360" s="25" t="s">
        <v>47</v>
      </c>
      <c r="Y360" s="25" t="s">
        <v>48</v>
      </c>
      <c r="Z360" s="25" t="s">
        <v>49</v>
      </c>
      <c r="AA360" s="25" t="s">
        <v>72</v>
      </c>
      <c r="AB360" s="25" t="s">
        <v>138</v>
      </c>
      <c r="AC360" s="29"/>
      <c r="AD360" s="29"/>
      <c r="AE360" s="29"/>
      <c r="AF360" s="29"/>
      <c r="AG360" s="29"/>
      <c r="AH360" s="33" t="s">
        <v>1584</v>
      </c>
      <c r="AI360" s="33"/>
      <c r="AJ360" s="33"/>
      <c r="AK360" s="33"/>
    </row>
    <row r="361" hidden="1">
      <c r="A361" s="10">
        <v>360.0</v>
      </c>
      <c r="B361" s="31">
        <v>45595.0</v>
      </c>
      <c r="C361" s="25">
        <v>0.1</v>
      </c>
      <c r="D361" s="12">
        <f t="shared" si="11"/>
        <v>0</v>
      </c>
      <c r="E361" s="25" t="s">
        <v>1308</v>
      </c>
      <c r="F361" s="29"/>
      <c r="G361" s="30"/>
      <c r="H361" s="45" t="s">
        <v>1165</v>
      </c>
      <c r="I361" s="23">
        <v>1.0</v>
      </c>
      <c r="J361" s="28" t="s">
        <v>1420</v>
      </c>
      <c r="K361" s="22">
        <v>45621.0</v>
      </c>
      <c r="L361" s="23" t="s">
        <v>1475</v>
      </c>
      <c r="M361" s="25" t="s">
        <v>1701</v>
      </c>
      <c r="N361" s="25" t="s">
        <v>1702</v>
      </c>
      <c r="O361" s="25" t="s">
        <v>1703</v>
      </c>
      <c r="P361" s="25">
        <v>259128.0</v>
      </c>
      <c r="Q361" s="25" t="s">
        <v>274</v>
      </c>
      <c r="R361" s="25" t="s">
        <v>149</v>
      </c>
      <c r="S361" s="25">
        <v>2300.0</v>
      </c>
      <c r="T361" s="25"/>
      <c r="U361" s="25" t="s">
        <v>1704</v>
      </c>
      <c r="V361" s="25" t="s">
        <v>1705</v>
      </c>
      <c r="W361" s="29"/>
      <c r="X361" s="25" t="s">
        <v>47</v>
      </c>
      <c r="Y361" s="25" t="s">
        <v>48</v>
      </c>
      <c r="Z361" s="25" t="s">
        <v>102</v>
      </c>
      <c r="AA361" s="25" t="s">
        <v>970</v>
      </c>
      <c r="AB361" s="25" t="s">
        <v>1410</v>
      </c>
      <c r="AC361" s="29"/>
      <c r="AD361" s="29"/>
      <c r="AE361" s="29"/>
      <c r="AF361" s="29"/>
      <c r="AG361" s="29"/>
      <c r="AH361" s="33" t="s">
        <v>1584</v>
      </c>
      <c r="AI361" s="33"/>
      <c r="AJ361" s="33"/>
      <c r="AK361" s="33"/>
    </row>
    <row r="362" hidden="1">
      <c r="A362" s="10">
        <v>361.0</v>
      </c>
      <c r="B362" s="31">
        <v>45595.0</v>
      </c>
      <c r="C362" s="25">
        <v>0.1</v>
      </c>
      <c r="D362" s="12">
        <f t="shared" si="11"/>
        <v>0</v>
      </c>
      <c r="E362" s="25" t="s">
        <v>1308</v>
      </c>
      <c r="F362" s="29"/>
      <c r="G362" s="30"/>
      <c r="H362" s="45" t="s">
        <v>1165</v>
      </c>
      <c r="I362" s="23">
        <v>1.0</v>
      </c>
      <c r="J362" s="28" t="s">
        <v>91</v>
      </c>
      <c r="K362" s="22">
        <v>45622.0</v>
      </c>
      <c r="L362" s="23" t="s">
        <v>925</v>
      </c>
      <c r="M362" s="25" t="s">
        <v>1706</v>
      </c>
      <c r="N362" s="25" t="s">
        <v>1707</v>
      </c>
      <c r="O362" s="25" t="s">
        <v>1708</v>
      </c>
      <c r="P362" s="25">
        <v>262562.0</v>
      </c>
      <c r="Q362" s="25" t="s">
        <v>929</v>
      </c>
      <c r="R362" s="25" t="s">
        <v>1709</v>
      </c>
      <c r="S362" s="25" t="s">
        <v>1710</v>
      </c>
      <c r="T362" s="25"/>
      <c r="U362" s="25" t="s">
        <v>1711</v>
      </c>
      <c r="V362" s="25" t="s">
        <v>1712</v>
      </c>
      <c r="W362" s="29"/>
      <c r="X362" s="25" t="s">
        <v>47</v>
      </c>
      <c r="Y362" s="25" t="s">
        <v>48</v>
      </c>
      <c r="Z362" s="25" t="s">
        <v>102</v>
      </c>
      <c r="AA362" s="25" t="s">
        <v>72</v>
      </c>
      <c r="AB362" s="25" t="s">
        <v>1713</v>
      </c>
      <c r="AC362" s="29"/>
      <c r="AD362" s="29"/>
      <c r="AE362" s="29"/>
      <c r="AF362" s="29"/>
      <c r="AG362" s="29"/>
      <c r="AH362" s="75"/>
      <c r="AI362" s="75"/>
      <c r="AJ362" s="75"/>
      <c r="AK362" s="75"/>
    </row>
    <row r="363" hidden="1">
      <c r="A363" s="10">
        <v>362.0</v>
      </c>
      <c r="B363" s="31">
        <v>45593.0</v>
      </c>
      <c r="C363" s="25">
        <v>0.1</v>
      </c>
      <c r="D363" s="12">
        <f t="shared" si="11"/>
        <v>0</v>
      </c>
      <c r="E363" s="25" t="s">
        <v>1308</v>
      </c>
      <c r="F363" s="29"/>
      <c r="G363" s="30"/>
      <c r="H363" s="45" t="s">
        <v>1165</v>
      </c>
      <c r="I363" s="27">
        <v>1.0</v>
      </c>
      <c r="J363" s="28" t="s">
        <v>91</v>
      </c>
      <c r="K363" s="22">
        <v>45626.0</v>
      </c>
      <c r="L363" s="23" t="s">
        <v>250</v>
      </c>
      <c r="M363" s="25" t="s">
        <v>1714</v>
      </c>
      <c r="N363" s="25" t="s">
        <v>1715</v>
      </c>
      <c r="O363" s="25" t="s">
        <v>1716</v>
      </c>
      <c r="P363" s="25">
        <v>132263.0</v>
      </c>
      <c r="Q363" s="25" t="s">
        <v>42</v>
      </c>
      <c r="R363" s="25" t="s">
        <v>334</v>
      </c>
      <c r="S363" s="25">
        <v>1550.0</v>
      </c>
      <c r="T363" s="25"/>
      <c r="U363" s="25" t="s">
        <v>1717</v>
      </c>
      <c r="V363" s="25" t="s">
        <v>1718</v>
      </c>
      <c r="W363" s="29"/>
      <c r="X363" s="25" t="s">
        <v>1023</v>
      </c>
      <c r="Y363" s="25" t="s">
        <v>120</v>
      </c>
      <c r="Z363" s="25" t="s">
        <v>49</v>
      </c>
      <c r="AA363" s="25" t="s">
        <v>72</v>
      </c>
      <c r="AB363" s="25" t="s">
        <v>1719</v>
      </c>
      <c r="AC363" s="29"/>
      <c r="AD363" s="29"/>
      <c r="AE363" s="29"/>
      <c r="AF363" s="29"/>
      <c r="AG363" s="29"/>
      <c r="AH363" s="75"/>
      <c r="AI363" s="75"/>
      <c r="AJ363" s="75"/>
      <c r="AK363" s="75"/>
    </row>
    <row r="364" hidden="1">
      <c r="A364" s="10">
        <v>363.0</v>
      </c>
      <c r="B364" s="31">
        <v>45579.0</v>
      </c>
      <c r="C364" s="25">
        <v>0.1</v>
      </c>
      <c r="D364" s="12">
        <f t="shared" si="11"/>
        <v>0</v>
      </c>
      <c r="E364" s="25" t="s">
        <v>1308</v>
      </c>
      <c r="F364" s="29"/>
      <c r="G364" s="30"/>
      <c r="H364" s="45" t="s">
        <v>1165</v>
      </c>
      <c r="I364" s="23">
        <v>1.0</v>
      </c>
      <c r="J364" s="28" t="s">
        <v>1420</v>
      </c>
      <c r="K364" s="22">
        <v>45630.0</v>
      </c>
      <c r="L364" s="23" t="s">
        <v>38</v>
      </c>
      <c r="M364" s="25" t="s">
        <v>1720</v>
      </c>
      <c r="N364" s="25" t="s">
        <v>1721</v>
      </c>
      <c r="O364" s="25" t="s">
        <v>1722</v>
      </c>
      <c r="P364" s="25">
        <v>132519.0</v>
      </c>
      <c r="Q364" s="25" t="s">
        <v>42</v>
      </c>
      <c r="R364" s="25" t="s">
        <v>105</v>
      </c>
      <c r="S364" s="25">
        <v>1900.0</v>
      </c>
      <c r="T364" s="25"/>
      <c r="U364" s="25" t="s">
        <v>1723</v>
      </c>
      <c r="V364" s="25" t="s">
        <v>1724</v>
      </c>
      <c r="W364" s="29"/>
      <c r="X364" s="25" t="s">
        <v>47</v>
      </c>
      <c r="Y364" s="25" t="s">
        <v>48</v>
      </c>
      <c r="Z364" s="25" t="s">
        <v>49</v>
      </c>
      <c r="AA364" s="25" t="s">
        <v>72</v>
      </c>
      <c r="AB364" s="25" t="s">
        <v>1713</v>
      </c>
      <c r="AC364" s="29"/>
      <c r="AD364" s="29"/>
      <c r="AE364" s="29"/>
      <c r="AF364" s="29"/>
      <c r="AG364" s="29"/>
      <c r="AH364" s="75"/>
      <c r="AI364" s="75"/>
      <c r="AJ364" s="75"/>
      <c r="AK364" s="75"/>
    </row>
    <row r="365" hidden="1">
      <c r="A365" s="10">
        <v>364.0</v>
      </c>
      <c r="B365" s="38">
        <v>45602.0</v>
      </c>
      <c r="C365" s="25">
        <v>0.1</v>
      </c>
      <c r="D365" s="12">
        <f t="shared" si="11"/>
        <v>0</v>
      </c>
      <c r="E365" s="25" t="s">
        <v>1308</v>
      </c>
      <c r="F365" s="29"/>
      <c r="G365" s="30"/>
      <c r="H365" s="45" t="s">
        <v>1165</v>
      </c>
      <c r="I365" s="23">
        <v>7.0</v>
      </c>
      <c r="J365" s="28" t="s">
        <v>91</v>
      </c>
      <c r="K365" s="22">
        <v>45631.0</v>
      </c>
      <c r="L365" s="23" t="s">
        <v>270</v>
      </c>
      <c r="M365" s="25" t="s">
        <v>1725</v>
      </c>
      <c r="N365" s="25" t="s">
        <v>1726</v>
      </c>
      <c r="O365" s="25" t="s">
        <v>1694</v>
      </c>
      <c r="P365" s="25">
        <v>269844.0</v>
      </c>
      <c r="Q365" s="25" t="s">
        <v>274</v>
      </c>
      <c r="R365" s="25" t="s">
        <v>275</v>
      </c>
      <c r="S365" s="25">
        <v>2725.0</v>
      </c>
      <c r="T365" s="25"/>
      <c r="U365" s="25" t="s">
        <v>1727</v>
      </c>
      <c r="V365" s="25" t="s">
        <v>1728</v>
      </c>
      <c r="W365" s="29"/>
      <c r="X365" s="25" t="s">
        <v>47</v>
      </c>
      <c r="Y365" s="25" t="s">
        <v>48</v>
      </c>
      <c r="Z365" s="25" t="s">
        <v>102</v>
      </c>
      <c r="AA365" s="25" t="s">
        <v>970</v>
      </c>
      <c r="AB365" s="25" t="s">
        <v>1410</v>
      </c>
      <c r="AC365" s="29"/>
      <c r="AD365" s="29"/>
      <c r="AE365" s="29"/>
      <c r="AF365" s="29"/>
      <c r="AG365" s="29"/>
      <c r="AH365" s="75"/>
      <c r="AI365" s="75"/>
      <c r="AJ365" s="75"/>
      <c r="AK365" s="75"/>
    </row>
    <row r="366" hidden="1">
      <c r="A366" s="10">
        <v>365.0</v>
      </c>
      <c r="B366" s="31">
        <v>45586.0</v>
      </c>
      <c r="C366" s="25">
        <v>0.1</v>
      </c>
      <c r="D366" s="12">
        <f t="shared" si="11"/>
        <v>0</v>
      </c>
      <c r="E366" s="25" t="s">
        <v>1308</v>
      </c>
      <c r="F366" s="29"/>
      <c r="G366" s="30"/>
      <c r="H366" s="45" t="s">
        <v>1165</v>
      </c>
      <c r="I366" s="27">
        <v>3.0</v>
      </c>
      <c r="J366" s="28" t="s">
        <v>1420</v>
      </c>
      <c r="K366" s="22">
        <v>45634.0</v>
      </c>
      <c r="L366" s="23" t="s">
        <v>38</v>
      </c>
      <c r="M366" s="25" t="s">
        <v>1697</v>
      </c>
      <c r="N366" s="25" t="s">
        <v>1729</v>
      </c>
      <c r="O366" s="25" t="s">
        <v>1699</v>
      </c>
      <c r="P366" s="25">
        <v>135338.0</v>
      </c>
      <c r="Q366" s="25" t="s">
        <v>42</v>
      </c>
      <c r="R366" s="25" t="s">
        <v>43</v>
      </c>
      <c r="S366" s="25">
        <v>2450.0</v>
      </c>
      <c r="T366" s="25"/>
      <c r="U366" s="25" t="s">
        <v>1730</v>
      </c>
      <c r="V366" s="25" t="s">
        <v>1731</v>
      </c>
      <c r="W366" s="29"/>
      <c r="X366" s="25" t="s">
        <v>47</v>
      </c>
      <c r="Y366" s="25" t="s">
        <v>48</v>
      </c>
      <c r="Z366" s="25" t="s">
        <v>49</v>
      </c>
      <c r="AA366" s="25" t="s">
        <v>72</v>
      </c>
      <c r="AB366" s="25" t="s">
        <v>138</v>
      </c>
      <c r="AC366" s="29"/>
      <c r="AD366" s="29"/>
      <c r="AE366" s="29"/>
      <c r="AF366" s="29"/>
      <c r="AG366" s="29"/>
      <c r="AH366" s="75"/>
      <c r="AI366" s="75"/>
      <c r="AJ366" s="75"/>
      <c r="AK366" s="75"/>
    </row>
    <row r="367" hidden="1">
      <c r="A367" s="10">
        <v>366.0</v>
      </c>
      <c r="B367" s="31">
        <v>45618.0</v>
      </c>
      <c r="C367" s="25">
        <v>0.1</v>
      </c>
      <c r="D367" s="12">
        <f t="shared" si="11"/>
        <v>0</v>
      </c>
      <c r="E367" s="25" t="s">
        <v>1308</v>
      </c>
      <c r="F367" s="29"/>
      <c r="G367" s="30"/>
      <c r="H367" s="45" t="s">
        <v>1165</v>
      </c>
      <c r="I367" s="23">
        <v>5.0</v>
      </c>
      <c r="J367" s="28" t="s">
        <v>91</v>
      </c>
      <c r="K367" s="22">
        <v>45635.0</v>
      </c>
      <c r="L367" s="23" t="s">
        <v>555</v>
      </c>
      <c r="M367" s="25" t="s">
        <v>1645</v>
      </c>
      <c r="N367" s="25" t="s">
        <v>1732</v>
      </c>
      <c r="O367" s="25" t="s">
        <v>1647</v>
      </c>
      <c r="P367" s="25">
        <v>270880.0</v>
      </c>
      <c r="Q367" s="25" t="s">
        <v>477</v>
      </c>
      <c r="R367" s="25" t="s">
        <v>1668</v>
      </c>
      <c r="S367" s="25">
        <v>1350.0</v>
      </c>
      <c r="T367" s="25"/>
      <c r="U367" s="25" t="s">
        <v>1733</v>
      </c>
      <c r="V367" s="25" t="s">
        <v>1734</v>
      </c>
      <c r="W367" s="29"/>
      <c r="X367" s="25" t="s">
        <v>47</v>
      </c>
      <c r="Y367" s="25" t="s">
        <v>48</v>
      </c>
      <c r="Z367" s="25" t="s">
        <v>102</v>
      </c>
      <c r="AA367" s="25" t="s">
        <v>72</v>
      </c>
      <c r="AB367" s="25" t="s">
        <v>1719</v>
      </c>
      <c r="AC367" s="29"/>
      <c r="AD367" s="29"/>
      <c r="AE367" s="29"/>
      <c r="AF367" s="29"/>
      <c r="AG367" s="29"/>
      <c r="AH367" s="75"/>
      <c r="AI367" s="75"/>
      <c r="AJ367" s="75"/>
      <c r="AK367" s="75"/>
    </row>
    <row r="368" hidden="1">
      <c r="A368" s="10">
        <v>367.0</v>
      </c>
      <c r="B368" s="31">
        <v>45559.0</v>
      </c>
      <c r="C368" s="25">
        <v>0.1</v>
      </c>
      <c r="D368" s="12">
        <f t="shared" si="11"/>
        <v>0</v>
      </c>
      <c r="E368" s="25" t="s">
        <v>1308</v>
      </c>
      <c r="F368" s="29"/>
      <c r="G368" s="30"/>
      <c r="H368" s="45" t="s">
        <v>1165</v>
      </c>
      <c r="I368" s="27">
        <v>3.0</v>
      </c>
      <c r="J368" s="28" t="s">
        <v>91</v>
      </c>
      <c r="K368" s="22">
        <v>45636.0</v>
      </c>
      <c r="L368" s="23" t="s">
        <v>157</v>
      </c>
      <c r="M368" s="25" t="s">
        <v>1735</v>
      </c>
      <c r="N368" s="25" t="s">
        <v>1736</v>
      </c>
      <c r="O368" s="25" t="s">
        <v>66</v>
      </c>
      <c r="P368" s="25">
        <v>136138.0</v>
      </c>
      <c r="Q368" s="25" t="s">
        <v>160</v>
      </c>
      <c r="R368" s="25" t="s">
        <v>161</v>
      </c>
      <c r="S368" s="25" t="s">
        <v>165</v>
      </c>
      <c r="T368" s="25"/>
      <c r="U368" s="25" t="s">
        <v>1737</v>
      </c>
      <c r="V368" s="25" t="s">
        <v>1738</v>
      </c>
      <c r="W368" s="29"/>
      <c r="X368" s="25" t="s">
        <v>47</v>
      </c>
      <c r="Y368" s="25" t="s">
        <v>48</v>
      </c>
      <c r="Z368" s="25" t="s">
        <v>92</v>
      </c>
      <c r="AA368" s="25" t="s">
        <v>72</v>
      </c>
      <c r="AB368" s="25" t="s">
        <v>165</v>
      </c>
      <c r="AC368" s="29"/>
      <c r="AD368" s="29"/>
      <c r="AE368" s="29"/>
      <c r="AF368" s="29"/>
      <c r="AG368" s="29"/>
      <c r="AH368" s="75"/>
      <c r="AI368" s="75"/>
      <c r="AJ368" s="75"/>
      <c r="AK368" s="75"/>
    </row>
    <row r="369" hidden="1">
      <c r="A369" s="10">
        <v>368.0</v>
      </c>
      <c r="B369" s="31">
        <v>45622.0</v>
      </c>
      <c r="C369" s="31">
        <v>45632.0</v>
      </c>
      <c r="D369" s="12">
        <f t="shared" si="11"/>
        <v>0</v>
      </c>
      <c r="E369" s="25" t="s">
        <v>1308</v>
      </c>
      <c r="F369" s="29"/>
      <c r="G369" s="30"/>
      <c r="H369" s="45" t="s">
        <v>1165</v>
      </c>
      <c r="I369" s="23">
        <v>5.0</v>
      </c>
      <c r="J369" s="28" t="s">
        <v>91</v>
      </c>
      <c r="K369" s="22">
        <v>45640.0</v>
      </c>
      <c r="L369" s="23" t="s">
        <v>250</v>
      </c>
      <c r="M369" s="25" t="s">
        <v>1739</v>
      </c>
      <c r="N369" s="25" t="s">
        <v>1740</v>
      </c>
      <c r="O369" s="25" t="s">
        <v>1741</v>
      </c>
      <c r="P369" s="25">
        <v>274043.0</v>
      </c>
      <c r="Q369" s="25" t="s">
        <v>1196</v>
      </c>
      <c r="R369" s="25" t="s">
        <v>603</v>
      </c>
      <c r="S369" s="25">
        <v>2785.0</v>
      </c>
      <c r="T369" s="76"/>
      <c r="U369" s="76"/>
      <c r="V369" s="76"/>
      <c r="W369" s="29"/>
      <c r="X369" s="25" t="s">
        <v>47</v>
      </c>
      <c r="Y369" s="25" t="s">
        <v>48</v>
      </c>
      <c r="Z369" s="25" t="s">
        <v>102</v>
      </c>
      <c r="AA369" s="25" t="s">
        <v>72</v>
      </c>
      <c r="AB369" s="25" t="s">
        <v>138</v>
      </c>
      <c r="AC369" s="29"/>
      <c r="AD369" s="29"/>
      <c r="AE369" s="29"/>
      <c r="AF369" s="29"/>
      <c r="AG369" s="29"/>
      <c r="AH369" s="75"/>
      <c r="AI369" s="75"/>
      <c r="AJ369" s="75"/>
      <c r="AK369" s="75"/>
    </row>
    <row r="370" hidden="1">
      <c r="A370" s="10">
        <v>369.0</v>
      </c>
      <c r="B370" s="31">
        <v>45600.0</v>
      </c>
      <c r="C370" s="38">
        <v>45638.0</v>
      </c>
      <c r="D370" s="12">
        <f t="shared" si="11"/>
        <v>0</v>
      </c>
      <c r="E370" s="25" t="s">
        <v>1308</v>
      </c>
      <c r="F370" s="29"/>
      <c r="G370" s="30"/>
      <c r="H370" s="45" t="s">
        <v>1165</v>
      </c>
      <c r="I370" s="23">
        <v>4.0</v>
      </c>
      <c r="J370" s="28" t="s">
        <v>1420</v>
      </c>
      <c r="K370" s="22">
        <v>45659.0</v>
      </c>
      <c r="L370" s="23" t="s">
        <v>988</v>
      </c>
      <c r="M370" s="25" t="s">
        <v>1742</v>
      </c>
      <c r="N370" s="25" t="s">
        <v>1743</v>
      </c>
      <c r="O370" s="25" t="s">
        <v>1744</v>
      </c>
      <c r="P370" s="25">
        <v>140707.0</v>
      </c>
      <c r="Q370" s="25" t="s">
        <v>67</v>
      </c>
      <c r="R370" s="25" t="s">
        <v>116</v>
      </c>
      <c r="S370" s="25">
        <v>1950.0</v>
      </c>
      <c r="T370" s="25"/>
      <c r="U370" s="25" t="s">
        <v>1745</v>
      </c>
      <c r="V370" s="25" t="s">
        <v>1746</v>
      </c>
      <c r="W370" s="29"/>
      <c r="X370" s="25" t="s">
        <v>47</v>
      </c>
      <c r="Y370" s="25" t="s">
        <v>120</v>
      </c>
      <c r="Z370" s="25" t="s">
        <v>49</v>
      </c>
      <c r="AA370" s="25" t="s">
        <v>72</v>
      </c>
      <c r="AB370" s="25" t="s">
        <v>1747</v>
      </c>
      <c r="AC370" s="29"/>
      <c r="AD370" s="29"/>
      <c r="AE370" s="29"/>
      <c r="AF370" s="29"/>
      <c r="AG370" s="29"/>
      <c r="AH370" s="75"/>
      <c r="AI370" s="75"/>
      <c r="AJ370" s="75"/>
      <c r="AK370" s="75"/>
    </row>
    <row r="371" hidden="1">
      <c r="A371" s="10">
        <v>370.0</v>
      </c>
      <c r="B371" s="31">
        <v>45617.0</v>
      </c>
      <c r="C371" s="31">
        <v>45641.0</v>
      </c>
      <c r="D371" s="12">
        <f t="shared" si="11"/>
        <v>0</v>
      </c>
      <c r="E371" s="25" t="s">
        <v>1308</v>
      </c>
      <c r="F371" s="29"/>
      <c r="G371" s="30"/>
      <c r="H371" s="45" t="s">
        <v>1165</v>
      </c>
      <c r="I371" s="23">
        <v>1.0</v>
      </c>
      <c r="J371" s="28" t="s">
        <v>91</v>
      </c>
      <c r="K371" s="22">
        <v>45644.0</v>
      </c>
      <c r="L371" s="23" t="s">
        <v>270</v>
      </c>
      <c r="M371" s="25" t="s">
        <v>1748</v>
      </c>
      <c r="N371" s="25">
        <v>5.70293422E8</v>
      </c>
      <c r="O371" s="25" t="s">
        <v>1694</v>
      </c>
      <c r="P371" s="25">
        <v>283364.0</v>
      </c>
      <c r="Q371" s="25" t="s">
        <v>274</v>
      </c>
      <c r="R371" s="25" t="s">
        <v>275</v>
      </c>
      <c r="S371" s="25">
        <v>2725.0</v>
      </c>
      <c r="T371" s="25"/>
      <c r="U371" s="25" t="s">
        <v>1749</v>
      </c>
      <c r="V371" s="25" t="s">
        <v>1750</v>
      </c>
      <c r="W371" s="29"/>
      <c r="X371" s="25" t="s">
        <v>47</v>
      </c>
      <c r="Y371" s="25" t="s">
        <v>48</v>
      </c>
      <c r="Z371" s="25" t="s">
        <v>102</v>
      </c>
      <c r="AA371" s="25" t="s">
        <v>970</v>
      </c>
      <c r="AB371" s="25" t="s">
        <v>1410</v>
      </c>
      <c r="AC371" s="29"/>
      <c r="AD371" s="29"/>
      <c r="AE371" s="29"/>
      <c r="AF371" s="29"/>
      <c r="AG371" s="29"/>
      <c r="AH371" s="75"/>
      <c r="AI371" s="75"/>
      <c r="AJ371" s="75"/>
      <c r="AK371" s="75"/>
    </row>
    <row r="372" hidden="1">
      <c r="A372" s="10">
        <v>371.0</v>
      </c>
      <c r="B372" s="31">
        <v>45599.0</v>
      </c>
      <c r="C372" s="31">
        <v>45641.0</v>
      </c>
      <c r="D372" s="12">
        <f t="shared" si="11"/>
        <v>0</v>
      </c>
      <c r="E372" s="25" t="s">
        <v>1308</v>
      </c>
      <c r="F372" s="29"/>
      <c r="G372" s="30"/>
      <c r="H372" s="45" t="s">
        <v>1165</v>
      </c>
      <c r="I372" s="23">
        <v>4.0</v>
      </c>
      <c r="J372" s="28" t="s">
        <v>1420</v>
      </c>
      <c r="K372" s="22">
        <v>45662.0</v>
      </c>
      <c r="L372" s="23" t="s">
        <v>988</v>
      </c>
      <c r="M372" s="25" t="s">
        <v>1742</v>
      </c>
      <c r="N372" s="25" t="s">
        <v>1751</v>
      </c>
      <c r="O372" s="25" t="s">
        <v>1744</v>
      </c>
      <c r="P372" s="25">
        <v>141196.0</v>
      </c>
      <c r="Q372" s="25" t="s">
        <v>67</v>
      </c>
      <c r="R372" s="25" t="s">
        <v>116</v>
      </c>
      <c r="S372" s="25">
        <v>1950.0</v>
      </c>
      <c r="T372" s="25"/>
      <c r="U372" s="25" t="s">
        <v>1752</v>
      </c>
      <c r="V372" s="25" t="s">
        <v>1753</v>
      </c>
      <c r="W372" s="29"/>
      <c r="X372" s="25" t="s">
        <v>47</v>
      </c>
      <c r="Y372" s="25" t="s">
        <v>120</v>
      </c>
      <c r="Z372" s="25" t="s">
        <v>49</v>
      </c>
      <c r="AA372" s="25" t="s">
        <v>72</v>
      </c>
      <c r="AB372" s="25" t="s">
        <v>1747</v>
      </c>
      <c r="AC372" s="29"/>
      <c r="AD372" s="29"/>
      <c r="AE372" s="29"/>
      <c r="AF372" s="29"/>
      <c r="AG372" s="29"/>
      <c r="AH372" s="75"/>
      <c r="AI372" s="75"/>
      <c r="AJ372" s="75"/>
      <c r="AK372" s="75"/>
    </row>
    <row r="373" hidden="1">
      <c r="A373" s="10">
        <v>372.0</v>
      </c>
      <c r="B373" s="31">
        <v>45613.0</v>
      </c>
      <c r="C373" s="31">
        <v>45643.0</v>
      </c>
      <c r="D373" s="12">
        <f t="shared" si="11"/>
        <v>0</v>
      </c>
      <c r="E373" s="25" t="s">
        <v>1308</v>
      </c>
      <c r="F373" s="29"/>
      <c r="G373" s="30"/>
      <c r="H373" s="45" t="s">
        <v>1165</v>
      </c>
      <c r="I373" s="27">
        <v>2.0</v>
      </c>
      <c r="J373" s="28" t="s">
        <v>91</v>
      </c>
      <c r="K373" s="22">
        <v>45658.0</v>
      </c>
      <c r="L373" s="23" t="s">
        <v>250</v>
      </c>
      <c r="M373" s="25" t="s">
        <v>1714</v>
      </c>
      <c r="N373" s="25" t="s">
        <v>1754</v>
      </c>
      <c r="O373" s="25" t="s">
        <v>1716</v>
      </c>
      <c r="P373" s="25">
        <v>145440.0</v>
      </c>
      <c r="Q373" s="25" t="s">
        <v>42</v>
      </c>
      <c r="R373" s="25" t="s">
        <v>334</v>
      </c>
      <c r="S373" s="25" t="s">
        <v>1755</v>
      </c>
      <c r="T373" s="29"/>
      <c r="U373" s="25" t="s">
        <v>1756</v>
      </c>
      <c r="V373" s="25" t="s">
        <v>1757</v>
      </c>
      <c r="W373" s="29"/>
      <c r="X373" s="25" t="s">
        <v>1023</v>
      </c>
      <c r="Y373" s="25" t="s">
        <v>1758</v>
      </c>
      <c r="Z373" s="25" t="s">
        <v>49</v>
      </c>
      <c r="AA373" s="25" t="s">
        <v>72</v>
      </c>
      <c r="AB373" s="25" t="s">
        <v>1719</v>
      </c>
      <c r="AC373" s="29"/>
      <c r="AD373" s="29"/>
      <c r="AE373" s="29"/>
      <c r="AF373" s="29"/>
      <c r="AG373" s="29"/>
      <c r="AH373" s="75"/>
      <c r="AI373" s="75"/>
      <c r="AJ373" s="75"/>
      <c r="AK373" s="75"/>
    </row>
    <row r="374" hidden="1">
      <c r="A374" s="10">
        <v>373.0</v>
      </c>
      <c r="B374" s="31">
        <v>45632.0</v>
      </c>
      <c r="C374" s="31">
        <v>45645.0</v>
      </c>
      <c r="D374" s="12">
        <f t="shared" si="11"/>
        <v>0</v>
      </c>
      <c r="E374" s="25" t="s">
        <v>1308</v>
      </c>
      <c r="F374" s="29"/>
      <c r="G374" s="30"/>
      <c r="H374" s="45" t="s">
        <v>1165</v>
      </c>
      <c r="I374" s="23">
        <v>3.0</v>
      </c>
      <c r="J374" s="28" t="s">
        <v>1759</v>
      </c>
      <c r="K374" s="22">
        <v>45651.0</v>
      </c>
      <c r="L374" s="23" t="s">
        <v>555</v>
      </c>
      <c r="M374" s="25" t="s">
        <v>1760</v>
      </c>
      <c r="N374" s="25" t="s">
        <v>1761</v>
      </c>
      <c r="O374" s="25" t="s">
        <v>1647</v>
      </c>
      <c r="P374" s="25">
        <v>289156.0</v>
      </c>
      <c r="Q374" s="25" t="s">
        <v>477</v>
      </c>
      <c r="R374" s="25" t="s">
        <v>1668</v>
      </c>
      <c r="S374" s="25">
        <v>1350.0</v>
      </c>
      <c r="T374" s="25"/>
      <c r="U374" s="25" t="s">
        <v>1762</v>
      </c>
      <c r="V374" s="25">
        <v>3.100053018E9</v>
      </c>
      <c r="W374" s="29"/>
      <c r="X374" s="25" t="s">
        <v>47</v>
      </c>
      <c r="Y374" s="25" t="s">
        <v>48</v>
      </c>
      <c r="Z374" s="25" t="s">
        <v>102</v>
      </c>
      <c r="AA374" s="25" t="s">
        <v>72</v>
      </c>
      <c r="AB374" s="25" t="s">
        <v>1671</v>
      </c>
      <c r="AC374" s="29"/>
      <c r="AD374" s="29"/>
      <c r="AE374" s="29"/>
      <c r="AF374" s="29"/>
      <c r="AG374" s="29"/>
      <c r="AH374" s="75"/>
      <c r="AI374" s="75"/>
      <c r="AJ374" s="75"/>
      <c r="AK374" s="75"/>
    </row>
    <row r="375" hidden="1">
      <c r="A375" s="10">
        <v>374.0</v>
      </c>
      <c r="B375" s="31">
        <v>45616.0</v>
      </c>
      <c r="C375" s="31">
        <v>45646.0</v>
      </c>
      <c r="D375" s="12">
        <f t="shared" si="11"/>
        <v>0</v>
      </c>
      <c r="E375" s="25" t="s">
        <v>1308</v>
      </c>
      <c r="F375" s="29"/>
      <c r="G375" s="30"/>
      <c r="H375" s="45" t="s">
        <v>1415</v>
      </c>
      <c r="I375" s="27">
        <v>1.0</v>
      </c>
      <c r="J375" s="28" t="s">
        <v>1420</v>
      </c>
      <c r="K375" s="22">
        <v>45659.0</v>
      </c>
      <c r="L375" s="23" t="s">
        <v>38</v>
      </c>
      <c r="M375" s="25" t="s">
        <v>1763</v>
      </c>
      <c r="N375" s="25" t="s">
        <v>1764</v>
      </c>
      <c r="O375" s="25" t="s">
        <v>1765</v>
      </c>
      <c r="P375" s="25">
        <v>143896.0</v>
      </c>
      <c r="Q375" s="25" t="s">
        <v>67</v>
      </c>
      <c r="R375" s="25" t="s">
        <v>111</v>
      </c>
      <c r="S375" s="25">
        <v>1980.0</v>
      </c>
      <c r="T375" s="25"/>
      <c r="U375" s="25" t="s">
        <v>1766</v>
      </c>
      <c r="V375" s="25" t="s">
        <v>1767</v>
      </c>
      <c r="W375" s="29"/>
      <c r="X375" s="25" t="s">
        <v>47</v>
      </c>
      <c r="Y375" s="25" t="s">
        <v>120</v>
      </c>
      <c r="Z375" s="25" t="s">
        <v>49</v>
      </c>
      <c r="AA375" s="25" t="s">
        <v>72</v>
      </c>
      <c r="AB375" s="29"/>
      <c r="AC375" s="29"/>
      <c r="AD375" s="29"/>
      <c r="AE375" s="29"/>
      <c r="AF375" s="29"/>
      <c r="AG375" s="29"/>
      <c r="AH375" s="75"/>
      <c r="AI375" s="75"/>
      <c r="AJ375" s="75"/>
      <c r="AK375" s="75"/>
    </row>
    <row r="376" hidden="1">
      <c r="A376" s="10">
        <v>375.0</v>
      </c>
      <c r="B376" s="31">
        <v>45620.0</v>
      </c>
      <c r="C376" s="31">
        <v>45647.0</v>
      </c>
      <c r="D376" s="12">
        <f t="shared" si="11"/>
        <v>0</v>
      </c>
      <c r="E376" s="25" t="s">
        <v>1308</v>
      </c>
      <c r="F376" s="29"/>
      <c r="G376" s="30"/>
      <c r="H376" s="45" t="s">
        <v>1165</v>
      </c>
      <c r="I376" s="23">
        <v>1.0</v>
      </c>
      <c r="J376" s="28" t="s">
        <v>1420</v>
      </c>
      <c r="K376" s="22">
        <v>45661.0</v>
      </c>
      <c r="L376" s="23" t="s">
        <v>168</v>
      </c>
      <c r="M376" s="25" t="s">
        <v>1768</v>
      </c>
      <c r="N376" s="25">
        <v>5250049.0</v>
      </c>
      <c r="O376" s="25" t="s">
        <v>1769</v>
      </c>
      <c r="P376" s="25">
        <v>144921.0</v>
      </c>
      <c r="Q376" s="25" t="s">
        <v>67</v>
      </c>
      <c r="R376" s="25" t="s">
        <v>111</v>
      </c>
      <c r="S376" s="25">
        <v>1900.0</v>
      </c>
      <c r="T376" s="25"/>
      <c r="U376" s="25" t="s">
        <v>1770</v>
      </c>
      <c r="V376" s="25" t="s">
        <v>1771</v>
      </c>
      <c r="W376" s="29"/>
      <c r="X376" s="25" t="s">
        <v>47</v>
      </c>
      <c r="Y376" s="25" t="s">
        <v>120</v>
      </c>
      <c r="Z376" s="25" t="s">
        <v>49</v>
      </c>
      <c r="AA376" s="25" t="s">
        <v>1772</v>
      </c>
      <c r="AB376" s="25" t="s">
        <v>987</v>
      </c>
      <c r="AC376" s="29"/>
      <c r="AD376" s="29"/>
      <c r="AE376" s="29"/>
      <c r="AF376" s="29"/>
      <c r="AG376" s="29"/>
      <c r="AH376" s="75"/>
      <c r="AI376" s="75"/>
      <c r="AJ376" s="75"/>
      <c r="AK376" s="75"/>
    </row>
    <row r="377" hidden="1">
      <c r="A377" s="10">
        <v>376.0</v>
      </c>
      <c r="B377" s="31">
        <v>45624.0</v>
      </c>
      <c r="C377" s="31">
        <v>45648.0</v>
      </c>
      <c r="D377" s="12">
        <f t="shared" si="11"/>
        <v>0</v>
      </c>
      <c r="E377" s="26" t="s">
        <v>1308</v>
      </c>
      <c r="F377" s="29"/>
      <c r="G377" s="30"/>
      <c r="H377" s="45" t="s">
        <v>1165</v>
      </c>
      <c r="I377" s="23">
        <v>2.0</v>
      </c>
      <c r="J377" s="28" t="s">
        <v>91</v>
      </c>
      <c r="K377" s="22">
        <v>45658.0</v>
      </c>
      <c r="L377" s="23" t="s">
        <v>270</v>
      </c>
      <c r="M377" s="25" t="s">
        <v>1773</v>
      </c>
      <c r="N377" s="25" t="s">
        <v>1774</v>
      </c>
      <c r="O377" s="25" t="s">
        <v>1775</v>
      </c>
      <c r="P377" s="25">
        <v>290744.0</v>
      </c>
      <c r="Q377" s="25" t="s">
        <v>274</v>
      </c>
      <c r="R377" s="25" t="s">
        <v>275</v>
      </c>
      <c r="S377" s="25">
        <v>2490.0</v>
      </c>
      <c r="T377" s="25"/>
      <c r="U377" s="25" t="s">
        <v>1776</v>
      </c>
      <c r="V377" s="25" t="s">
        <v>1777</v>
      </c>
      <c r="W377" s="29"/>
      <c r="X377" s="25" t="s">
        <v>47</v>
      </c>
      <c r="Y377" s="25" t="s">
        <v>48</v>
      </c>
      <c r="Z377" s="25" t="s">
        <v>102</v>
      </c>
      <c r="AA377" s="25" t="s">
        <v>970</v>
      </c>
      <c r="AB377" s="25" t="s">
        <v>1410</v>
      </c>
      <c r="AC377" s="29"/>
      <c r="AD377" s="29"/>
      <c r="AE377" s="29"/>
      <c r="AF377" s="29"/>
      <c r="AG377" s="29"/>
      <c r="AH377" s="75"/>
      <c r="AI377" s="75"/>
      <c r="AJ377" s="75"/>
      <c r="AK377" s="75"/>
    </row>
    <row r="378" hidden="1">
      <c r="A378" s="10">
        <v>377.0</v>
      </c>
      <c r="B378" s="31">
        <v>45626.0</v>
      </c>
      <c r="C378" s="31">
        <v>45656.0</v>
      </c>
      <c r="D378" s="12">
        <f t="shared" si="11"/>
        <v>0</v>
      </c>
      <c r="E378" s="26" t="s">
        <v>1308</v>
      </c>
      <c r="F378" s="29"/>
      <c r="G378" s="30"/>
      <c r="H378" s="45" t="s">
        <v>1165</v>
      </c>
      <c r="I378" s="23">
        <v>1.0</v>
      </c>
      <c r="J378" s="28" t="s">
        <v>91</v>
      </c>
      <c r="K378" s="22">
        <v>45661.0</v>
      </c>
      <c r="L378" s="23" t="s">
        <v>250</v>
      </c>
      <c r="M378" s="25" t="s">
        <v>1778</v>
      </c>
      <c r="N378" s="25">
        <v>251578.0</v>
      </c>
      <c r="O378" s="25" t="s">
        <v>1779</v>
      </c>
      <c r="P378" s="25">
        <v>299289.0</v>
      </c>
      <c r="Q378" s="25" t="s">
        <v>148</v>
      </c>
      <c r="R378" s="25" t="s">
        <v>254</v>
      </c>
      <c r="S378" s="35">
        <v>2450.0</v>
      </c>
      <c r="T378" s="25"/>
      <c r="U378" s="25" t="s">
        <v>1780</v>
      </c>
      <c r="V378" s="25" t="s">
        <v>1781</v>
      </c>
      <c r="W378" s="29"/>
      <c r="X378" s="25" t="s">
        <v>47</v>
      </c>
      <c r="Y378" s="25" t="s">
        <v>48</v>
      </c>
      <c r="Z378" s="25" t="s">
        <v>102</v>
      </c>
      <c r="AA378" s="25" t="s">
        <v>72</v>
      </c>
      <c r="AB378" s="25" t="s">
        <v>1719</v>
      </c>
      <c r="AC378" s="29"/>
      <c r="AD378" s="29"/>
      <c r="AE378" s="29"/>
      <c r="AF378" s="29"/>
      <c r="AG378" s="29"/>
      <c r="AH378" s="75"/>
      <c r="AI378" s="75"/>
      <c r="AJ378" s="75"/>
      <c r="AK378" s="75"/>
    </row>
    <row r="379" hidden="1">
      <c r="A379" s="10">
        <v>378.0</v>
      </c>
      <c r="B379" s="31">
        <v>45637.0</v>
      </c>
      <c r="C379" s="31">
        <v>45662.0</v>
      </c>
      <c r="D379" s="12">
        <f t="shared" si="11"/>
        <v>0</v>
      </c>
      <c r="E379" s="26" t="s">
        <v>1308</v>
      </c>
      <c r="F379" s="29"/>
      <c r="G379" s="30"/>
      <c r="H379" s="45" t="s">
        <v>1165</v>
      </c>
      <c r="I379" s="23">
        <v>4.0</v>
      </c>
      <c r="J379" s="28" t="s">
        <v>91</v>
      </c>
      <c r="K379" s="22">
        <v>45668.0</v>
      </c>
      <c r="L379" s="23" t="s">
        <v>270</v>
      </c>
      <c r="M379" s="25" t="s">
        <v>1782</v>
      </c>
      <c r="N379" s="25" t="s">
        <v>1783</v>
      </c>
      <c r="O379" s="25" t="s">
        <v>1775</v>
      </c>
      <c r="P379" s="25">
        <v>4281.0</v>
      </c>
      <c r="Q379" s="25" t="s">
        <v>274</v>
      </c>
      <c r="R379" s="25" t="s">
        <v>275</v>
      </c>
      <c r="S379" s="25">
        <v>2490.0</v>
      </c>
      <c r="T379" s="25"/>
      <c r="U379" s="25" t="s">
        <v>1784</v>
      </c>
      <c r="V379" s="25" t="s">
        <v>1785</v>
      </c>
      <c r="W379" s="29"/>
      <c r="X379" s="25" t="s">
        <v>47</v>
      </c>
      <c r="Y379" s="25" t="s">
        <v>48</v>
      </c>
      <c r="Z379" s="25" t="s">
        <v>102</v>
      </c>
      <c r="AA379" s="25" t="s">
        <v>970</v>
      </c>
      <c r="AB379" s="25" t="s">
        <v>1410</v>
      </c>
      <c r="AC379" s="29"/>
      <c r="AD379" s="29"/>
      <c r="AE379" s="29"/>
      <c r="AF379" s="29"/>
      <c r="AG379" s="29"/>
      <c r="AH379" s="75"/>
      <c r="AI379" s="75"/>
      <c r="AJ379" s="75"/>
      <c r="AK379" s="75"/>
    </row>
    <row r="380" hidden="1">
      <c r="A380" s="10">
        <v>379.0</v>
      </c>
      <c r="B380" s="31">
        <v>45624.0</v>
      </c>
      <c r="C380" s="31">
        <v>45665.0</v>
      </c>
      <c r="D380" s="12">
        <f t="shared" si="11"/>
        <v>0</v>
      </c>
      <c r="E380" s="26" t="s">
        <v>1308</v>
      </c>
      <c r="F380" s="29"/>
      <c r="G380" s="30"/>
      <c r="H380" s="45" t="s">
        <v>1165</v>
      </c>
      <c r="I380" s="23">
        <v>3.0</v>
      </c>
      <c r="J380" s="28" t="s">
        <v>91</v>
      </c>
      <c r="K380" s="22">
        <v>45673.0</v>
      </c>
      <c r="L380" s="23" t="s">
        <v>95</v>
      </c>
      <c r="M380" s="25" t="s">
        <v>1463</v>
      </c>
      <c r="N380" s="25" t="s">
        <v>1786</v>
      </c>
      <c r="O380" s="25" t="s">
        <v>1787</v>
      </c>
      <c r="P380" s="25">
        <v>2700.0</v>
      </c>
      <c r="Q380" s="25" t="s">
        <v>42</v>
      </c>
      <c r="R380" s="25" t="s">
        <v>334</v>
      </c>
      <c r="S380" s="25">
        <v>2000.0</v>
      </c>
      <c r="T380" s="25"/>
      <c r="U380" s="25" t="s">
        <v>1788</v>
      </c>
      <c r="V380" s="29"/>
      <c r="W380" s="29"/>
      <c r="X380" s="25" t="s">
        <v>47</v>
      </c>
      <c r="Y380" s="25" t="s">
        <v>48</v>
      </c>
      <c r="Z380" s="25" t="s">
        <v>49</v>
      </c>
      <c r="AA380" s="25" t="s">
        <v>72</v>
      </c>
      <c r="AB380" s="76"/>
      <c r="AC380" s="29"/>
      <c r="AD380" s="29"/>
      <c r="AE380" s="29"/>
      <c r="AF380" s="29"/>
      <c r="AG380" s="29"/>
      <c r="AH380" s="75"/>
      <c r="AI380" s="75"/>
      <c r="AJ380" s="75"/>
      <c r="AK380" s="75"/>
    </row>
    <row r="381" ht="28.5" hidden="1" customHeight="1">
      <c r="A381" s="10">
        <v>380.0</v>
      </c>
      <c r="B381" s="31">
        <v>45629.0</v>
      </c>
      <c r="C381" s="31">
        <v>45665.0</v>
      </c>
      <c r="D381" s="12">
        <f t="shared" si="11"/>
        <v>0</v>
      </c>
      <c r="E381" s="26" t="s">
        <v>1308</v>
      </c>
      <c r="F381" s="29"/>
      <c r="G381" s="30"/>
      <c r="H381" s="45" t="s">
        <v>1165</v>
      </c>
      <c r="I381" s="23">
        <v>3.0</v>
      </c>
      <c r="J381" s="28" t="s">
        <v>1420</v>
      </c>
      <c r="K381" s="22">
        <v>45685.0</v>
      </c>
      <c r="L381" s="23" t="s">
        <v>38</v>
      </c>
      <c r="M381" s="25" t="s">
        <v>1697</v>
      </c>
      <c r="N381" s="25" t="s">
        <v>1789</v>
      </c>
      <c r="O381" s="25" t="s">
        <v>1699</v>
      </c>
      <c r="P381" s="25">
        <v>3879.0</v>
      </c>
      <c r="Q381" s="25" t="s">
        <v>42</v>
      </c>
      <c r="R381" s="25" t="s">
        <v>43</v>
      </c>
      <c r="S381" s="25">
        <v>2910.0</v>
      </c>
      <c r="T381" s="25"/>
      <c r="U381" s="25" t="s">
        <v>1790</v>
      </c>
      <c r="V381" s="76"/>
      <c r="W381" s="29"/>
      <c r="X381" s="25" t="s">
        <v>47</v>
      </c>
      <c r="Y381" s="25" t="s">
        <v>48</v>
      </c>
      <c r="Z381" s="25" t="s">
        <v>49</v>
      </c>
      <c r="AA381" s="25" t="s">
        <v>72</v>
      </c>
      <c r="AB381" s="25" t="s">
        <v>1719</v>
      </c>
      <c r="AC381" s="29"/>
      <c r="AD381" s="29"/>
      <c r="AE381" s="29"/>
      <c r="AF381" s="29"/>
      <c r="AG381" s="29"/>
      <c r="AH381" s="75"/>
      <c r="AI381" s="75"/>
      <c r="AJ381" s="75"/>
      <c r="AK381" s="75"/>
    </row>
    <row r="382" hidden="1">
      <c r="A382" s="10">
        <v>381.0</v>
      </c>
      <c r="B382" s="31">
        <v>45632.0</v>
      </c>
      <c r="C382" s="31">
        <v>45666.0</v>
      </c>
      <c r="D382" s="12">
        <f t="shared" si="11"/>
        <v>0</v>
      </c>
      <c r="E382" s="26" t="s">
        <v>1308</v>
      </c>
      <c r="F382" s="29"/>
      <c r="G382" s="30"/>
      <c r="H382" s="45" t="s">
        <v>1165</v>
      </c>
      <c r="I382" s="23">
        <v>2.0</v>
      </c>
      <c r="J382" s="28" t="s">
        <v>1420</v>
      </c>
      <c r="K382" s="22">
        <v>45680.0</v>
      </c>
      <c r="L382" s="23" t="s">
        <v>250</v>
      </c>
      <c r="M382" s="25" t="s">
        <v>1791</v>
      </c>
      <c r="N382" s="25" t="s">
        <v>1792</v>
      </c>
      <c r="O382" s="25" t="s">
        <v>1716</v>
      </c>
      <c r="P382" s="25">
        <v>4443.0</v>
      </c>
      <c r="Q382" s="25" t="s">
        <v>42</v>
      </c>
      <c r="R382" s="25" t="s">
        <v>43</v>
      </c>
      <c r="S382" s="25">
        <v>2500.0</v>
      </c>
      <c r="T382" s="76"/>
      <c r="U382" s="25" t="s">
        <v>1793</v>
      </c>
      <c r="V382" s="25" t="s">
        <v>1794</v>
      </c>
      <c r="W382" s="29"/>
      <c r="X382" s="25" t="s">
        <v>47</v>
      </c>
      <c r="Y382" s="25" t="s">
        <v>48</v>
      </c>
      <c r="Z382" s="25" t="s">
        <v>49</v>
      </c>
      <c r="AA382" s="25" t="s">
        <v>72</v>
      </c>
      <c r="AB382" s="25" t="s">
        <v>114</v>
      </c>
      <c r="AC382" s="29"/>
      <c r="AD382" s="29"/>
      <c r="AE382" s="29"/>
      <c r="AF382" s="29"/>
      <c r="AG382" s="29"/>
      <c r="AH382" s="75"/>
      <c r="AI382" s="75"/>
      <c r="AJ382" s="75"/>
      <c r="AK382" s="75"/>
    </row>
    <row r="383" hidden="1">
      <c r="A383" s="10">
        <v>382.0</v>
      </c>
      <c r="B383" s="31">
        <v>45643.0</v>
      </c>
      <c r="C383" s="31">
        <v>45669.0</v>
      </c>
      <c r="D383" s="12">
        <f t="shared" si="11"/>
        <v>0</v>
      </c>
      <c r="E383" s="26" t="s">
        <v>1308</v>
      </c>
      <c r="F383" s="29"/>
      <c r="G383" s="30"/>
      <c r="H383" s="45" t="s">
        <v>1165</v>
      </c>
      <c r="I383" s="23">
        <v>2.0</v>
      </c>
      <c r="J383" s="28" t="s">
        <v>91</v>
      </c>
      <c r="K383" s="22">
        <v>45679.0</v>
      </c>
      <c r="L383" s="23" t="s">
        <v>270</v>
      </c>
      <c r="M383" s="25" t="s">
        <v>1795</v>
      </c>
      <c r="N383" s="25" t="s">
        <v>1796</v>
      </c>
      <c r="O383" s="25" t="s">
        <v>1775</v>
      </c>
      <c r="P383" s="25">
        <v>9959.0</v>
      </c>
      <c r="Q383" s="25" t="s">
        <v>274</v>
      </c>
      <c r="R383" s="25" t="s">
        <v>275</v>
      </c>
      <c r="S383" s="25">
        <v>2490.0</v>
      </c>
      <c r="T383" s="25"/>
      <c r="U383" s="25" t="s">
        <v>1797</v>
      </c>
      <c r="V383" s="25" t="s">
        <v>1798</v>
      </c>
      <c r="W383" s="29"/>
      <c r="X383" s="25" t="s">
        <v>1023</v>
      </c>
      <c r="Y383" s="25" t="s">
        <v>48</v>
      </c>
      <c r="Z383" s="25" t="s">
        <v>102</v>
      </c>
      <c r="AA383" s="25" t="s">
        <v>970</v>
      </c>
      <c r="AB383" s="25" t="s">
        <v>1410</v>
      </c>
      <c r="AC383" s="29"/>
      <c r="AD383" s="29"/>
      <c r="AE383" s="29"/>
      <c r="AF383" s="29"/>
      <c r="AG383" s="29"/>
      <c r="AH383" s="75"/>
      <c r="AI383" s="75"/>
      <c r="AJ383" s="75"/>
      <c r="AK383" s="75"/>
    </row>
    <row r="384" hidden="1">
      <c r="A384" s="10">
        <v>383.0</v>
      </c>
      <c r="B384" s="31">
        <v>45647.0</v>
      </c>
      <c r="C384" s="31">
        <v>45671.0</v>
      </c>
      <c r="D384" s="12">
        <f t="shared" si="11"/>
        <v>0</v>
      </c>
      <c r="E384" s="26" t="s">
        <v>1308</v>
      </c>
      <c r="F384" s="29"/>
      <c r="G384" s="30"/>
      <c r="H384" s="45" t="s">
        <v>1165</v>
      </c>
      <c r="I384" s="23">
        <v>3.0</v>
      </c>
      <c r="J384" s="28" t="s">
        <v>1420</v>
      </c>
      <c r="K384" s="22">
        <v>45686.0</v>
      </c>
      <c r="L384" s="23" t="s">
        <v>38</v>
      </c>
      <c r="M384" s="25" t="s">
        <v>1697</v>
      </c>
      <c r="N384" s="25" t="s">
        <v>1799</v>
      </c>
      <c r="O384" s="25" t="s">
        <v>1699</v>
      </c>
      <c r="P384" s="25">
        <v>8014.0</v>
      </c>
      <c r="Q384" s="25" t="s">
        <v>42</v>
      </c>
      <c r="R384" s="25" t="s">
        <v>43</v>
      </c>
      <c r="S384" s="25">
        <v>2400.0</v>
      </c>
      <c r="T384" s="76"/>
      <c r="U384" s="25" t="s">
        <v>1800</v>
      </c>
      <c r="V384" s="25" t="s">
        <v>1801</v>
      </c>
      <c r="W384" s="29"/>
      <c r="X384" s="25" t="s">
        <v>47</v>
      </c>
      <c r="Y384" s="25" t="s">
        <v>48</v>
      </c>
      <c r="Z384" s="25" t="s">
        <v>49</v>
      </c>
      <c r="AA384" s="25" t="s">
        <v>72</v>
      </c>
      <c r="AB384" s="25" t="s">
        <v>1719</v>
      </c>
      <c r="AC384" s="29"/>
      <c r="AD384" s="29"/>
      <c r="AE384" s="29"/>
      <c r="AF384" s="29"/>
      <c r="AG384" s="29"/>
      <c r="AH384" s="75"/>
      <c r="AI384" s="75"/>
      <c r="AJ384" s="75"/>
      <c r="AK384" s="75"/>
    </row>
    <row r="385" hidden="1">
      <c r="A385" s="10">
        <v>384.0</v>
      </c>
      <c r="B385" s="31">
        <v>45636.0</v>
      </c>
      <c r="C385" s="31">
        <v>45672.0</v>
      </c>
      <c r="D385" s="12">
        <f t="shared" si="11"/>
        <v>0</v>
      </c>
      <c r="E385" s="26" t="s">
        <v>1308</v>
      </c>
      <c r="F385" s="29"/>
      <c r="G385" s="30"/>
      <c r="H385" s="45" t="s">
        <v>1165</v>
      </c>
      <c r="I385" s="23">
        <v>1.0</v>
      </c>
      <c r="J385" s="28" t="s">
        <v>1420</v>
      </c>
      <c r="K385" s="22">
        <v>45683.0</v>
      </c>
      <c r="L385" s="23" t="s">
        <v>38</v>
      </c>
      <c r="M385" s="25" t="s">
        <v>1802</v>
      </c>
      <c r="N385" s="25" t="s">
        <v>1803</v>
      </c>
      <c r="O385" s="25" t="s">
        <v>1804</v>
      </c>
      <c r="P385" s="25">
        <v>6081.0</v>
      </c>
      <c r="Q385" s="25" t="s">
        <v>67</v>
      </c>
      <c r="R385" s="25" t="s">
        <v>111</v>
      </c>
      <c r="S385" s="25">
        <v>1975.0</v>
      </c>
      <c r="T385" s="25"/>
      <c r="U385" s="25" t="s">
        <v>1805</v>
      </c>
      <c r="V385" s="25" t="s">
        <v>1806</v>
      </c>
      <c r="W385" s="29"/>
      <c r="X385" s="25" t="s">
        <v>47</v>
      </c>
      <c r="Y385" s="25" t="s">
        <v>120</v>
      </c>
      <c r="Z385" s="25" t="s">
        <v>49</v>
      </c>
      <c r="AA385" s="25" t="s">
        <v>72</v>
      </c>
      <c r="AB385" s="25" t="s">
        <v>719</v>
      </c>
      <c r="AC385" s="29"/>
      <c r="AD385" s="29"/>
      <c r="AE385" s="29"/>
      <c r="AF385" s="29"/>
      <c r="AG385" s="29"/>
      <c r="AH385" s="75"/>
      <c r="AI385" s="75"/>
      <c r="AJ385" s="75"/>
      <c r="AK385" s="75"/>
    </row>
    <row r="386" hidden="1">
      <c r="A386" s="10">
        <v>385.0</v>
      </c>
      <c r="B386" s="31">
        <v>45639.0</v>
      </c>
      <c r="C386" s="31">
        <v>45676.0</v>
      </c>
      <c r="D386" s="12">
        <f t="shared" si="11"/>
        <v>0</v>
      </c>
      <c r="E386" s="26" t="s">
        <v>1308</v>
      </c>
      <c r="F386" s="29"/>
      <c r="G386" s="30"/>
      <c r="H386" s="45" t="s">
        <v>1165</v>
      </c>
      <c r="I386" s="23">
        <v>5.0</v>
      </c>
      <c r="J386" s="28" t="s">
        <v>91</v>
      </c>
      <c r="K386" s="22">
        <v>45683.0</v>
      </c>
      <c r="L386" s="23" t="s">
        <v>180</v>
      </c>
      <c r="M386" s="25" t="s">
        <v>1807</v>
      </c>
      <c r="N386" s="25" t="s">
        <v>1808</v>
      </c>
      <c r="O386" s="76"/>
      <c r="P386" s="25">
        <v>19556.0</v>
      </c>
      <c r="Q386" s="25" t="s">
        <v>80</v>
      </c>
      <c r="R386" s="25" t="s">
        <v>1809</v>
      </c>
      <c r="S386" s="25">
        <v>1550.0</v>
      </c>
      <c r="T386" s="25"/>
      <c r="U386" s="25" t="s">
        <v>1810</v>
      </c>
      <c r="V386" s="25" t="s">
        <v>1811</v>
      </c>
      <c r="W386" s="29"/>
      <c r="X386" s="25" t="s">
        <v>47</v>
      </c>
      <c r="Y386" s="25" t="s">
        <v>48</v>
      </c>
      <c r="Z386" s="25" t="s">
        <v>102</v>
      </c>
      <c r="AA386" s="25" t="s">
        <v>72</v>
      </c>
      <c r="AB386" s="25" t="s">
        <v>1812</v>
      </c>
      <c r="AC386" s="29"/>
      <c r="AD386" s="29"/>
      <c r="AE386" s="29"/>
      <c r="AF386" s="29"/>
      <c r="AG386" s="29"/>
      <c r="AH386" s="75"/>
      <c r="AI386" s="75"/>
      <c r="AJ386" s="75"/>
      <c r="AK386" s="75"/>
    </row>
    <row r="387" hidden="1">
      <c r="A387" s="10">
        <v>386.0</v>
      </c>
      <c r="B387" s="31">
        <v>45654.0</v>
      </c>
      <c r="C387" s="31">
        <v>45676.0</v>
      </c>
      <c r="D387" s="12">
        <f t="shared" si="11"/>
        <v>0</v>
      </c>
      <c r="E387" s="26" t="s">
        <v>1308</v>
      </c>
      <c r="F387" s="29"/>
      <c r="G387" s="30"/>
      <c r="H387" s="45" t="s">
        <v>1165</v>
      </c>
      <c r="I387" s="23">
        <v>4.0</v>
      </c>
      <c r="J387" s="28" t="s">
        <v>91</v>
      </c>
      <c r="K387" s="22">
        <v>45684.0</v>
      </c>
      <c r="L387" s="23" t="s">
        <v>270</v>
      </c>
      <c r="M387" s="25" t="s">
        <v>1813</v>
      </c>
      <c r="N387" s="25" t="s">
        <v>1814</v>
      </c>
      <c r="O387" s="25" t="s">
        <v>1815</v>
      </c>
      <c r="P387" s="25">
        <v>22229.0</v>
      </c>
      <c r="Q387" s="25" t="s">
        <v>274</v>
      </c>
      <c r="R387" s="25" t="s">
        <v>275</v>
      </c>
      <c r="S387" s="25" t="s">
        <v>1816</v>
      </c>
      <c r="T387" s="76"/>
      <c r="U387" s="25" t="s">
        <v>1817</v>
      </c>
      <c r="V387" s="25" t="s">
        <v>1818</v>
      </c>
      <c r="W387" s="29"/>
      <c r="X387" s="25" t="s">
        <v>47</v>
      </c>
      <c r="Y387" s="25" t="s">
        <v>48</v>
      </c>
      <c r="Z387" s="25" t="s">
        <v>102</v>
      </c>
      <c r="AA387" s="25" t="s">
        <v>970</v>
      </c>
      <c r="AB387" s="25" t="s">
        <v>1289</v>
      </c>
      <c r="AC387" s="29"/>
      <c r="AD387" s="29"/>
      <c r="AE387" s="29"/>
      <c r="AF387" s="29"/>
      <c r="AG387" s="29"/>
      <c r="AH387" s="75"/>
      <c r="AI387" s="75"/>
      <c r="AJ387" s="75"/>
      <c r="AK387" s="75"/>
    </row>
    <row r="388" hidden="1">
      <c r="A388" s="10">
        <v>387.0</v>
      </c>
      <c r="B388" s="31">
        <v>45665.0</v>
      </c>
      <c r="C388" s="31">
        <v>45677.0</v>
      </c>
      <c r="D388" s="12">
        <f t="shared" si="11"/>
        <v>0</v>
      </c>
      <c r="E388" s="26" t="s">
        <v>1308</v>
      </c>
      <c r="F388" s="29"/>
      <c r="G388" s="30"/>
      <c r="H388" s="45" t="s">
        <v>1165</v>
      </c>
      <c r="I388" s="23">
        <v>3.0</v>
      </c>
      <c r="J388" s="28" t="s">
        <v>91</v>
      </c>
      <c r="K388" s="22">
        <v>45678.0</v>
      </c>
      <c r="L388" s="23" t="s">
        <v>250</v>
      </c>
      <c r="M388" s="25" t="s">
        <v>1819</v>
      </c>
      <c r="N388" s="25" t="s">
        <v>1820</v>
      </c>
      <c r="O388" s="25" t="s">
        <v>1821</v>
      </c>
      <c r="P388" s="25">
        <v>15225.0</v>
      </c>
      <c r="Q388" s="25" t="s">
        <v>370</v>
      </c>
      <c r="R388" s="25" t="s">
        <v>603</v>
      </c>
      <c r="S388" s="35">
        <v>2450.0</v>
      </c>
      <c r="T388" s="76"/>
      <c r="U388" s="25" t="s">
        <v>1822</v>
      </c>
      <c r="V388" s="25" t="s">
        <v>1823</v>
      </c>
      <c r="W388" s="29"/>
      <c r="X388" s="25" t="s">
        <v>47</v>
      </c>
      <c r="Y388" s="25" t="s">
        <v>48</v>
      </c>
      <c r="Z388" s="25" t="s">
        <v>102</v>
      </c>
      <c r="AA388" s="25" t="s">
        <v>72</v>
      </c>
      <c r="AB388" s="25" t="s">
        <v>1824</v>
      </c>
      <c r="AC388" s="29"/>
      <c r="AD388" s="29"/>
      <c r="AE388" s="29"/>
      <c r="AF388" s="29"/>
      <c r="AG388" s="29"/>
      <c r="AH388" s="75"/>
      <c r="AI388" s="75"/>
      <c r="AJ388" s="75"/>
      <c r="AK388" s="75"/>
    </row>
    <row r="389" hidden="1">
      <c r="A389" s="79">
        <v>388.0</v>
      </c>
      <c r="B389" s="80">
        <v>45652.0</v>
      </c>
      <c r="C389" s="80">
        <v>45685.0</v>
      </c>
      <c r="D389" s="81">
        <f t="shared" si="11"/>
        <v>0</v>
      </c>
      <c r="E389" s="82" t="s">
        <v>1308</v>
      </c>
      <c r="F389" s="83"/>
      <c r="G389" s="84"/>
      <c r="H389" s="85" t="s">
        <v>1165</v>
      </c>
      <c r="I389" s="86">
        <v>1.0</v>
      </c>
      <c r="J389" s="87" t="s">
        <v>1420</v>
      </c>
      <c r="K389" s="88">
        <v>45662.0</v>
      </c>
      <c r="L389" s="86" t="s">
        <v>53</v>
      </c>
      <c r="M389" s="89" t="s">
        <v>1825</v>
      </c>
      <c r="N389" s="89">
        <v>1064230.0</v>
      </c>
      <c r="O389" s="89" t="s">
        <v>1826</v>
      </c>
      <c r="P389" s="89">
        <v>30071.0</v>
      </c>
      <c r="Q389" s="89" t="s">
        <v>1827</v>
      </c>
      <c r="R389" s="89" t="s">
        <v>1828</v>
      </c>
      <c r="S389" s="89">
        <v>1700.0</v>
      </c>
      <c r="T389" s="90"/>
      <c r="U389" s="89" t="s">
        <v>1829</v>
      </c>
      <c r="V389" s="89" t="s">
        <v>1830</v>
      </c>
      <c r="W389" s="83"/>
      <c r="X389" s="89" t="s">
        <v>47</v>
      </c>
      <c r="Y389" s="89" t="s">
        <v>48</v>
      </c>
      <c r="Z389" s="89" t="s">
        <v>102</v>
      </c>
      <c r="AA389" s="89" t="s">
        <v>970</v>
      </c>
      <c r="AB389" s="89" t="s">
        <v>1747</v>
      </c>
      <c r="AC389" s="83"/>
      <c r="AD389" s="83"/>
      <c r="AE389" s="83"/>
      <c r="AF389" s="83"/>
      <c r="AG389" s="83"/>
      <c r="AH389" s="91"/>
      <c r="AI389" s="91"/>
      <c r="AJ389" s="91"/>
      <c r="AK389" s="91"/>
    </row>
    <row r="390" hidden="1">
      <c r="A390" s="79">
        <v>389.0</v>
      </c>
      <c r="B390" s="80">
        <v>45669.0</v>
      </c>
      <c r="C390" s="80">
        <v>45690.0</v>
      </c>
      <c r="D390" s="81">
        <f t="shared" si="11"/>
        <v>0</v>
      </c>
      <c r="E390" s="82" t="s">
        <v>1308</v>
      </c>
      <c r="F390" s="83"/>
      <c r="G390" s="84"/>
      <c r="H390" s="85" t="s">
        <v>1165</v>
      </c>
      <c r="I390" s="86">
        <v>1.0</v>
      </c>
      <c r="J390" s="87" t="s">
        <v>91</v>
      </c>
      <c r="K390" s="88">
        <v>45694.0</v>
      </c>
      <c r="L390" s="86" t="s">
        <v>1831</v>
      </c>
      <c r="M390" s="92" t="s">
        <v>1832</v>
      </c>
      <c r="N390" s="89">
        <v>76215.0</v>
      </c>
      <c r="O390" s="89" t="s">
        <v>1833</v>
      </c>
      <c r="P390" s="89">
        <v>34599.0</v>
      </c>
      <c r="Q390" s="89" t="s">
        <v>864</v>
      </c>
      <c r="R390" s="89" t="s">
        <v>1834</v>
      </c>
      <c r="S390" s="89">
        <v>2050.0</v>
      </c>
      <c r="T390" s="90"/>
      <c r="U390" s="89" t="s">
        <v>1835</v>
      </c>
      <c r="V390" s="89" t="s">
        <v>1836</v>
      </c>
      <c r="W390" s="83"/>
      <c r="X390" s="89" t="s">
        <v>47</v>
      </c>
      <c r="Y390" s="89" t="s">
        <v>120</v>
      </c>
      <c r="Z390" s="89" t="s">
        <v>102</v>
      </c>
      <c r="AA390" s="89" t="s">
        <v>72</v>
      </c>
      <c r="AB390" s="89" t="s">
        <v>1289</v>
      </c>
      <c r="AC390" s="83"/>
      <c r="AD390" s="83"/>
      <c r="AE390" s="83"/>
      <c r="AF390" s="83"/>
      <c r="AG390" s="83"/>
      <c r="AH390" s="91"/>
      <c r="AI390" s="91"/>
      <c r="AJ390" s="91"/>
      <c r="AK390" s="91"/>
    </row>
    <row r="391" hidden="1">
      <c r="A391" s="79">
        <v>392.0</v>
      </c>
      <c r="B391" s="80">
        <v>45669.0</v>
      </c>
      <c r="C391" s="80">
        <v>45693.0</v>
      </c>
      <c r="D391" s="81">
        <f t="shared" si="11"/>
        <v>0</v>
      </c>
      <c r="E391" s="82" t="s">
        <v>1308</v>
      </c>
      <c r="F391" s="83"/>
      <c r="G391" s="84"/>
      <c r="H391" s="85" t="s">
        <v>1165</v>
      </c>
      <c r="I391" s="86">
        <v>2.0</v>
      </c>
      <c r="J391" s="87" t="s">
        <v>1420</v>
      </c>
      <c r="K391" s="88">
        <v>45696.0</v>
      </c>
      <c r="L391" s="86" t="s">
        <v>53</v>
      </c>
      <c r="M391" s="92" t="s">
        <v>1837</v>
      </c>
      <c r="N391" s="89" t="s">
        <v>1838</v>
      </c>
      <c r="O391" s="89" t="s">
        <v>1839</v>
      </c>
      <c r="P391" s="89">
        <v>32812.0</v>
      </c>
      <c r="Q391" s="89" t="s">
        <v>1840</v>
      </c>
      <c r="R391" s="89" t="s">
        <v>1841</v>
      </c>
      <c r="S391" s="89">
        <v>3350.0</v>
      </c>
      <c r="T391" s="90"/>
      <c r="U391" s="89" t="s">
        <v>1842</v>
      </c>
      <c r="V391" s="89" t="s">
        <v>1843</v>
      </c>
      <c r="W391" s="83"/>
      <c r="X391" s="89" t="s">
        <v>47</v>
      </c>
      <c r="Y391" s="89" t="s">
        <v>48</v>
      </c>
      <c r="Z391" s="89" t="s">
        <v>102</v>
      </c>
      <c r="AA391" s="89" t="s">
        <v>72</v>
      </c>
      <c r="AB391" s="89" t="s">
        <v>1747</v>
      </c>
      <c r="AC391" s="83"/>
      <c r="AD391" s="83"/>
      <c r="AE391" s="83"/>
      <c r="AF391" s="83"/>
      <c r="AG391" s="83"/>
      <c r="AH391" s="91"/>
      <c r="AI391" s="91"/>
      <c r="AJ391" s="91"/>
      <c r="AK391" s="91"/>
    </row>
    <row r="392" hidden="1">
      <c r="A392" s="79">
        <v>396.0</v>
      </c>
      <c r="B392" s="80">
        <v>45654.0</v>
      </c>
      <c r="C392" s="80">
        <v>45696.0</v>
      </c>
      <c r="D392" s="81">
        <f t="shared" si="11"/>
        <v>0</v>
      </c>
      <c r="E392" s="82" t="s">
        <v>1308</v>
      </c>
      <c r="F392" s="83"/>
      <c r="G392" s="84"/>
      <c r="H392" s="85" t="s">
        <v>1165</v>
      </c>
      <c r="I392" s="86">
        <v>1.0</v>
      </c>
      <c r="J392" s="87" t="s">
        <v>1420</v>
      </c>
      <c r="K392" s="88">
        <v>45714.0</v>
      </c>
      <c r="L392" s="86" t="s">
        <v>53</v>
      </c>
      <c r="M392" s="89" t="s">
        <v>1844</v>
      </c>
      <c r="N392" s="89">
        <v>1065068.0</v>
      </c>
      <c r="O392" s="89" t="s">
        <v>1845</v>
      </c>
      <c r="P392" s="89">
        <v>16743.0</v>
      </c>
      <c r="Q392" s="89" t="s">
        <v>1846</v>
      </c>
      <c r="R392" s="89" t="s">
        <v>1847</v>
      </c>
      <c r="S392" s="89">
        <v>2700.0</v>
      </c>
      <c r="T392" s="90"/>
      <c r="U392" s="89" t="s">
        <v>1848</v>
      </c>
      <c r="V392" s="89" t="s">
        <v>1849</v>
      </c>
      <c r="W392" s="83"/>
      <c r="X392" s="89" t="s">
        <v>47</v>
      </c>
      <c r="Y392" s="89" t="s">
        <v>48</v>
      </c>
      <c r="Z392" s="89" t="s">
        <v>49</v>
      </c>
      <c r="AA392" s="89" t="s">
        <v>970</v>
      </c>
      <c r="AB392" s="89" t="s">
        <v>1824</v>
      </c>
      <c r="AC392" s="83"/>
      <c r="AD392" s="83"/>
      <c r="AE392" s="83"/>
      <c r="AF392" s="83"/>
      <c r="AG392" s="83"/>
      <c r="AH392" s="91"/>
      <c r="AI392" s="91"/>
      <c r="AJ392" s="91"/>
      <c r="AK392" s="91"/>
    </row>
    <row r="393" hidden="1">
      <c r="A393" s="79">
        <v>397.0</v>
      </c>
      <c r="B393" s="80">
        <v>45672.0</v>
      </c>
      <c r="C393" s="80">
        <v>45697.0</v>
      </c>
      <c r="D393" s="81">
        <f t="shared" si="11"/>
        <v>0</v>
      </c>
      <c r="E393" s="82" t="s">
        <v>1308</v>
      </c>
      <c r="F393" s="83"/>
      <c r="G393" s="84"/>
      <c r="H393" s="85" t="s">
        <v>1165</v>
      </c>
      <c r="I393" s="86">
        <v>3.0</v>
      </c>
      <c r="J393" s="87" t="s">
        <v>91</v>
      </c>
      <c r="K393" s="88">
        <v>45703.0</v>
      </c>
      <c r="L393" s="86" t="s">
        <v>270</v>
      </c>
      <c r="M393" s="89" t="s">
        <v>1850</v>
      </c>
      <c r="N393" s="89" t="s">
        <v>1851</v>
      </c>
      <c r="O393" s="89" t="s">
        <v>1852</v>
      </c>
      <c r="P393" s="89">
        <v>41634.0</v>
      </c>
      <c r="Q393" s="89" t="s">
        <v>274</v>
      </c>
      <c r="R393" s="89" t="s">
        <v>275</v>
      </c>
      <c r="S393" s="89">
        <v>2450.0</v>
      </c>
      <c r="T393" s="90"/>
      <c r="U393" s="89" t="s">
        <v>1853</v>
      </c>
      <c r="V393" s="89" t="s">
        <v>1854</v>
      </c>
      <c r="W393" s="83"/>
      <c r="X393" s="89" t="s">
        <v>47</v>
      </c>
      <c r="Y393" s="89" t="s">
        <v>48</v>
      </c>
      <c r="Z393" s="89" t="s">
        <v>102</v>
      </c>
      <c r="AA393" s="89" t="s">
        <v>970</v>
      </c>
      <c r="AB393" s="89" t="s">
        <v>1289</v>
      </c>
      <c r="AC393" s="83"/>
      <c r="AD393" s="83"/>
      <c r="AE393" s="83"/>
      <c r="AF393" s="83"/>
      <c r="AG393" s="83"/>
      <c r="AH393" s="91"/>
      <c r="AI393" s="91"/>
      <c r="AJ393" s="91"/>
      <c r="AK393" s="91"/>
    </row>
    <row r="394" hidden="1">
      <c r="A394" s="79"/>
      <c r="B394" s="80">
        <v>45686.0</v>
      </c>
      <c r="C394" s="80">
        <v>45704.0</v>
      </c>
      <c r="D394" s="81">
        <f t="shared" si="11"/>
        <v>0</v>
      </c>
      <c r="E394" s="82" t="s">
        <v>1192</v>
      </c>
      <c r="F394" s="83"/>
      <c r="G394" s="84"/>
      <c r="H394" s="85" t="s">
        <v>1165</v>
      </c>
      <c r="I394" s="86">
        <v>3.0</v>
      </c>
      <c r="J394" s="87" t="s">
        <v>91</v>
      </c>
      <c r="K394" s="88">
        <v>45710.0</v>
      </c>
      <c r="L394" s="86" t="s">
        <v>145</v>
      </c>
      <c r="M394" s="92" t="s">
        <v>1855</v>
      </c>
      <c r="N394" s="89" t="s">
        <v>1856</v>
      </c>
      <c r="O394" s="89" t="s">
        <v>1857</v>
      </c>
      <c r="P394" s="89">
        <v>49122.0</v>
      </c>
      <c r="Q394" s="89" t="s">
        <v>148</v>
      </c>
      <c r="R394" s="89" t="s">
        <v>149</v>
      </c>
      <c r="S394" s="89">
        <v>1150.0</v>
      </c>
      <c r="T394" s="90"/>
      <c r="U394" s="89" t="s">
        <v>1858</v>
      </c>
      <c r="V394" s="89" t="s">
        <v>1859</v>
      </c>
      <c r="W394" s="83"/>
      <c r="X394" s="89" t="s">
        <v>47</v>
      </c>
      <c r="Y394" s="89" t="s">
        <v>48</v>
      </c>
      <c r="Z394" s="89" t="s">
        <v>49</v>
      </c>
      <c r="AA394" s="89" t="s">
        <v>1860</v>
      </c>
      <c r="AB394" s="89" t="s">
        <v>1824</v>
      </c>
      <c r="AC394" s="83"/>
      <c r="AD394" s="83"/>
      <c r="AE394" s="83"/>
      <c r="AF394" s="83"/>
      <c r="AG394" s="83"/>
      <c r="AH394" s="91"/>
      <c r="AI394" s="91"/>
      <c r="AJ394" s="91"/>
      <c r="AK394" s="91"/>
    </row>
    <row r="395" hidden="1">
      <c r="A395" s="79"/>
      <c r="B395" s="80">
        <v>45679.0</v>
      </c>
      <c r="C395" s="80">
        <v>45707.0</v>
      </c>
      <c r="D395" s="81">
        <f t="shared" si="11"/>
        <v>0</v>
      </c>
      <c r="E395" s="82" t="s">
        <v>1308</v>
      </c>
      <c r="F395" s="83"/>
      <c r="G395" s="84"/>
      <c r="H395" s="85" t="s">
        <v>1165</v>
      </c>
      <c r="I395" s="86">
        <v>1.0</v>
      </c>
      <c r="J395" s="87" t="s">
        <v>91</v>
      </c>
      <c r="K395" s="88">
        <v>45713.0</v>
      </c>
      <c r="L395" s="86" t="s">
        <v>590</v>
      </c>
      <c r="M395" s="89" t="s">
        <v>1861</v>
      </c>
      <c r="N395" s="89">
        <v>9.0006054E7</v>
      </c>
      <c r="O395" s="89" t="s">
        <v>1862</v>
      </c>
      <c r="P395" s="89">
        <v>59083.0</v>
      </c>
      <c r="Q395" s="89" t="s">
        <v>171</v>
      </c>
      <c r="R395" s="89" t="s">
        <v>1273</v>
      </c>
      <c r="S395" s="89">
        <v>2250.0</v>
      </c>
      <c r="T395" s="90"/>
      <c r="U395" s="89" t="s">
        <v>1863</v>
      </c>
      <c r="V395" s="89" t="s">
        <v>1864</v>
      </c>
      <c r="W395" s="83"/>
      <c r="X395" s="89" t="s">
        <v>47</v>
      </c>
      <c r="Y395" s="89" t="s">
        <v>48</v>
      </c>
      <c r="Z395" s="89" t="s">
        <v>102</v>
      </c>
      <c r="AA395" s="89" t="s">
        <v>72</v>
      </c>
      <c r="AB395" s="89" t="s">
        <v>1812</v>
      </c>
      <c r="AC395" s="83"/>
      <c r="AD395" s="83"/>
      <c r="AE395" s="83"/>
      <c r="AF395" s="83"/>
      <c r="AG395" s="83"/>
      <c r="AH395" s="91"/>
      <c r="AI395" s="91"/>
      <c r="AJ395" s="91"/>
      <c r="AK395" s="91"/>
    </row>
    <row r="396" hidden="1">
      <c r="A396" s="79"/>
      <c r="B396" s="80">
        <v>45660.0</v>
      </c>
      <c r="C396" s="80">
        <v>45708.0</v>
      </c>
      <c r="D396" s="81">
        <f t="shared" si="11"/>
        <v>0</v>
      </c>
      <c r="E396" s="82" t="s">
        <v>1308</v>
      </c>
      <c r="F396" s="83"/>
      <c r="G396" s="84"/>
      <c r="H396" s="85" t="s">
        <v>1165</v>
      </c>
      <c r="I396" s="86">
        <v>2.0</v>
      </c>
      <c r="J396" s="87" t="s">
        <v>91</v>
      </c>
      <c r="K396" s="88">
        <v>45713.0</v>
      </c>
      <c r="L396" s="86" t="s">
        <v>168</v>
      </c>
      <c r="M396" s="89" t="s">
        <v>1865</v>
      </c>
      <c r="N396" s="89">
        <v>5250083.0</v>
      </c>
      <c r="O396" s="89" t="s">
        <v>1866</v>
      </c>
      <c r="P396" s="89">
        <v>57028.0</v>
      </c>
      <c r="Q396" s="89" t="s">
        <v>171</v>
      </c>
      <c r="R396" s="89" t="s">
        <v>172</v>
      </c>
      <c r="S396" s="89">
        <v>2400.0</v>
      </c>
      <c r="T396" s="90"/>
      <c r="U396" s="89" t="s">
        <v>1867</v>
      </c>
      <c r="V396" s="89" t="s">
        <v>1868</v>
      </c>
      <c r="W396" s="83"/>
      <c r="X396" s="89" t="s">
        <v>47</v>
      </c>
      <c r="Y396" s="89" t="s">
        <v>48</v>
      </c>
      <c r="Z396" s="89" t="s">
        <v>102</v>
      </c>
      <c r="AA396" s="89" t="s">
        <v>72</v>
      </c>
      <c r="AB396" s="89" t="s">
        <v>1289</v>
      </c>
      <c r="AC396" s="83"/>
      <c r="AD396" s="83"/>
      <c r="AE396" s="83"/>
      <c r="AF396" s="83"/>
      <c r="AG396" s="83"/>
      <c r="AH396" s="91"/>
      <c r="AI396" s="91"/>
      <c r="AJ396" s="91"/>
      <c r="AK396" s="91"/>
    </row>
    <row r="397" hidden="1">
      <c r="A397" s="79"/>
      <c r="B397" s="80">
        <v>45698.0</v>
      </c>
      <c r="C397" s="80">
        <v>45710.0</v>
      </c>
      <c r="D397" s="81">
        <f t="shared" si="11"/>
        <v>0</v>
      </c>
      <c r="E397" s="82" t="s">
        <v>1869</v>
      </c>
      <c r="F397" s="83"/>
      <c r="G397" s="84"/>
      <c r="H397" s="85" t="s">
        <v>1870</v>
      </c>
      <c r="I397" s="86">
        <v>1.0</v>
      </c>
      <c r="J397" s="87" t="s">
        <v>91</v>
      </c>
      <c r="K397" s="88">
        <v>45720.0</v>
      </c>
      <c r="L397" s="86" t="s">
        <v>1871</v>
      </c>
      <c r="M397" s="92" t="s">
        <v>1872</v>
      </c>
      <c r="N397" s="89" t="s">
        <v>1873</v>
      </c>
      <c r="O397" s="90"/>
      <c r="P397" s="89">
        <v>67945.0</v>
      </c>
      <c r="Q397" s="89" t="s">
        <v>477</v>
      </c>
      <c r="R397" s="89" t="s">
        <v>1874</v>
      </c>
      <c r="S397" s="89">
        <v>1300.0</v>
      </c>
      <c r="T397" s="90"/>
      <c r="U397" s="89" t="s">
        <v>1875</v>
      </c>
      <c r="V397" s="89">
        <v>3.10006434E9</v>
      </c>
      <c r="W397" s="83"/>
      <c r="X397" s="89" t="s">
        <v>47</v>
      </c>
      <c r="Y397" s="89" t="s">
        <v>48</v>
      </c>
      <c r="Z397" s="89" t="s">
        <v>92</v>
      </c>
      <c r="AA397" s="89" t="s">
        <v>72</v>
      </c>
      <c r="AB397" s="89" t="s">
        <v>294</v>
      </c>
      <c r="AC397" s="83"/>
      <c r="AD397" s="83"/>
      <c r="AE397" s="83"/>
      <c r="AF397" s="83"/>
      <c r="AG397" s="83"/>
      <c r="AH397" s="91"/>
      <c r="AI397" s="91"/>
      <c r="AJ397" s="91"/>
      <c r="AK397" s="91"/>
    </row>
    <row r="398" hidden="1">
      <c r="A398" s="79"/>
      <c r="B398" s="80">
        <v>45627.0</v>
      </c>
      <c r="C398" s="80">
        <v>45713.0</v>
      </c>
      <c r="D398" s="81">
        <f t="shared" si="11"/>
        <v>0</v>
      </c>
      <c r="E398" s="82" t="s">
        <v>1308</v>
      </c>
      <c r="F398" s="83"/>
      <c r="G398" s="84"/>
      <c r="H398" s="85" t="s">
        <v>1165</v>
      </c>
      <c r="I398" s="86">
        <v>2.0</v>
      </c>
      <c r="J398" s="87" t="s">
        <v>91</v>
      </c>
      <c r="K398" s="88">
        <v>45729.0</v>
      </c>
      <c r="L398" s="86" t="s">
        <v>157</v>
      </c>
      <c r="M398" s="92" t="s">
        <v>1876</v>
      </c>
      <c r="N398" s="89" t="s">
        <v>1877</v>
      </c>
      <c r="O398" s="90"/>
      <c r="P398" s="89">
        <v>33260.0</v>
      </c>
      <c r="Q398" s="89" t="s">
        <v>160</v>
      </c>
      <c r="R398" s="89" t="s">
        <v>161</v>
      </c>
      <c r="S398" s="89" t="s">
        <v>165</v>
      </c>
      <c r="T398" s="90"/>
      <c r="U398" s="89" t="s">
        <v>1878</v>
      </c>
      <c r="V398" s="89" t="s">
        <v>1879</v>
      </c>
      <c r="W398" s="83"/>
      <c r="X398" s="89" t="s">
        <v>47</v>
      </c>
      <c r="Y398" s="89" t="s">
        <v>48</v>
      </c>
      <c r="Z398" s="89" t="s">
        <v>92</v>
      </c>
      <c r="AA398" s="89" t="s">
        <v>72</v>
      </c>
      <c r="AB398" s="89" t="s">
        <v>165</v>
      </c>
      <c r="AC398" s="83"/>
      <c r="AD398" s="83"/>
      <c r="AE398" s="83"/>
      <c r="AF398" s="83"/>
      <c r="AG398" s="83"/>
      <c r="AH398" s="91"/>
      <c r="AI398" s="91"/>
      <c r="AJ398" s="91"/>
      <c r="AK398" s="91"/>
    </row>
    <row r="399" hidden="1">
      <c r="A399" s="79"/>
      <c r="B399" s="80">
        <v>45667.0</v>
      </c>
      <c r="C399" s="80">
        <v>45715.0</v>
      </c>
      <c r="D399" s="81">
        <f t="shared" si="11"/>
        <v>0</v>
      </c>
      <c r="E399" s="82" t="s">
        <v>1869</v>
      </c>
      <c r="F399" s="83"/>
      <c r="G399" s="84"/>
      <c r="H399" s="85" t="s">
        <v>1870</v>
      </c>
      <c r="I399" s="86">
        <v>1.0</v>
      </c>
      <c r="J399" s="87" t="s">
        <v>91</v>
      </c>
      <c r="K399" s="88">
        <v>45728.0</v>
      </c>
      <c r="L399" s="86" t="s">
        <v>1880</v>
      </c>
      <c r="M399" s="92" t="s">
        <v>1881</v>
      </c>
      <c r="N399" s="89" t="s">
        <v>1882</v>
      </c>
      <c r="O399" s="90"/>
      <c r="P399" s="89">
        <v>80886.0</v>
      </c>
      <c r="Q399" s="89" t="s">
        <v>274</v>
      </c>
      <c r="R399" s="89" t="s">
        <v>1883</v>
      </c>
      <c r="S399" s="89" t="s">
        <v>165</v>
      </c>
      <c r="T399" s="90"/>
      <c r="U399" s="89" t="s">
        <v>1884</v>
      </c>
      <c r="V399" s="89" t="s">
        <v>1885</v>
      </c>
      <c r="W399" s="83"/>
      <c r="X399" s="89" t="s">
        <v>47</v>
      </c>
      <c r="Y399" s="89" t="s">
        <v>120</v>
      </c>
      <c r="Z399" s="89" t="s">
        <v>92</v>
      </c>
      <c r="AA399" s="89" t="s">
        <v>72</v>
      </c>
      <c r="AB399" s="89" t="s">
        <v>165</v>
      </c>
      <c r="AC399" s="83"/>
      <c r="AD399" s="83"/>
      <c r="AE399" s="83"/>
      <c r="AF399" s="83"/>
      <c r="AG399" s="83"/>
      <c r="AH399" s="91"/>
      <c r="AI399" s="91"/>
      <c r="AJ399" s="91"/>
      <c r="AK399" s="91"/>
    </row>
    <row r="400" hidden="1">
      <c r="A400" s="79"/>
      <c r="B400" s="80">
        <v>45691.0</v>
      </c>
      <c r="C400" s="80">
        <v>45716.0</v>
      </c>
      <c r="D400" s="81">
        <f t="shared" si="11"/>
        <v>0</v>
      </c>
      <c r="E400" s="82" t="s">
        <v>1308</v>
      </c>
      <c r="F400" s="83"/>
      <c r="G400" s="84"/>
      <c r="H400" s="85" t="s">
        <v>1165</v>
      </c>
      <c r="I400" s="86">
        <v>2.0</v>
      </c>
      <c r="J400" s="87" t="s">
        <v>91</v>
      </c>
      <c r="K400" s="88">
        <v>45727.0</v>
      </c>
      <c r="L400" s="86" t="s">
        <v>157</v>
      </c>
      <c r="M400" s="92" t="s">
        <v>1886</v>
      </c>
      <c r="N400" s="89" t="s">
        <v>1887</v>
      </c>
      <c r="O400" s="90"/>
      <c r="P400" s="89">
        <v>38037.0</v>
      </c>
      <c r="Q400" s="89" t="s">
        <v>160</v>
      </c>
      <c r="R400" s="89" t="s">
        <v>161</v>
      </c>
      <c r="S400" s="89" t="s">
        <v>165</v>
      </c>
      <c r="T400" s="90"/>
      <c r="U400" s="89" t="s">
        <v>1888</v>
      </c>
      <c r="V400" s="90"/>
      <c r="W400" s="83"/>
      <c r="X400" s="89" t="s">
        <v>47</v>
      </c>
      <c r="Y400" s="89" t="s">
        <v>48</v>
      </c>
      <c r="Z400" s="89" t="s">
        <v>92</v>
      </c>
      <c r="AA400" s="89" t="s">
        <v>72</v>
      </c>
      <c r="AB400" s="89" t="s">
        <v>165</v>
      </c>
      <c r="AC400" s="83"/>
      <c r="AD400" s="83"/>
      <c r="AE400" s="83"/>
      <c r="AF400" s="83"/>
      <c r="AG400" s="83"/>
      <c r="AH400" s="93" t="s">
        <v>1584</v>
      </c>
      <c r="AI400" s="91"/>
      <c r="AJ400" s="91"/>
      <c r="AK400" s="91"/>
    </row>
    <row r="401" hidden="1">
      <c r="A401" s="79"/>
      <c r="B401" s="80">
        <v>45689.0</v>
      </c>
      <c r="C401" s="80">
        <v>45718.0</v>
      </c>
      <c r="D401" s="81">
        <f t="shared" si="11"/>
        <v>0</v>
      </c>
      <c r="E401" s="82" t="s">
        <v>1308</v>
      </c>
      <c r="F401" s="83"/>
      <c r="G401" s="84"/>
      <c r="H401" s="85" t="s">
        <v>1165</v>
      </c>
      <c r="I401" s="86">
        <v>1.0</v>
      </c>
      <c r="J401" s="87" t="s">
        <v>1420</v>
      </c>
      <c r="K401" s="89" t="s">
        <v>1889</v>
      </c>
      <c r="L401" s="86" t="s">
        <v>1890</v>
      </c>
      <c r="M401" s="92" t="s">
        <v>1891</v>
      </c>
      <c r="N401" s="89" t="s">
        <v>1892</v>
      </c>
      <c r="O401" s="89" t="s">
        <v>1893</v>
      </c>
      <c r="P401" s="89">
        <v>39414.0</v>
      </c>
      <c r="Q401" s="89" t="s">
        <v>42</v>
      </c>
      <c r="R401" s="89" t="s">
        <v>105</v>
      </c>
      <c r="S401" s="89">
        <v>1650.0</v>
      </c>
      <c r="T401" s="90"/>
      <c r="U401" s="89" t="s">
        <v>1894</v>
      </c>
      <c r="V401" s="89" t="s">
        <v>1895</v>
      </c>
      <c r="W401" s="83"/>
      <c r="X401" s="89" t="s">
        <v>47</v>
      </c>
      <c r="Y401" s="89" t="s">
        <v>120</v>
      </c>
      <c r="Z401" s="89" t="s">
        <v>49</v>
      </c>
      <c r="AA401" s="89" t="s">
        <v>1860</v>
      </c>
      <c r="AB401" s="89" t="s">
        <v>1671</v>
      </c>
      <c r="AC401" s="83"/>
      <c r="AD401" s="83"/>
      <c r="AE401" s="83"/>
      <c r="AF401" s="83"/>
      <c r="AG401" s="83"/>
      <c r="AH401" s="93" t="s">
        <v>1896</v>
      </c>
      <c r="AI401" s="91"/>
      <c r="AJ401" s="91"/>
      <c r="AK401" s="91"/>
    </row>
    <row r="402" hidden="1">
      <c r="A402" s="79"/>
      <c r="B402" s="80">
        <v>45689.0</v>
      </c>
      <c r="C402" s="80">
        <v>45718.0</v>
      </c>
      <c r="D402" s="81">
        <f t="shared" si="11"/>
        <v>0</v>
      </c>
      <c r="E402" s="82" t="s">
        <v>1308</v>
      </c>
      <c r="F402" s="83"/>
      <c r="G402" s="84"/>
      <c r="H402" s="85" t="s">
        <v>1165</v>
      </c>
      <c r="I402" s="86">
        <v>1.0</v>
      </c>
      <c r="J402" s="87" t="s">
        <v>1420</v>
      </c>
      <c r="K402" s="89" t="s">
        <v>1889</v>
      </c>
      <c r="L402" s="86" t="s">
        <v>1890</v>
      </c>
      <c r="M402" s="92" t="s">
        <v>1897</v>
      </c>
      <c r="N402" s="89" t="s">
        <v>1898</v>
      </c>
      <c r="O402" s="89" t="s">
        <v>1893</v>
      </c>
      <c r="P402" s="89">
        <v>39393.0</v>
      </c>
      <c r="Q402" s="89" t="s">
        <v>42</v>
      </c>
      <c r="R402" s="89" t="s">
        <v>105</v>
      </c>
      <c r="S402" s="89">
        <v>1950.0</v>
      </c>
      <c r="T402" s="90"/>
      <c r="U402" s="89" t="s">
        <v>1899</v>
      </c>
      <c r="V402" s="89" t="s">
        <v>1900</v>
      </c>
      <c r="W402" s="83"/>
      <c r="X402" s="89" t="s">
        <v>47</v>
      </c>
      <c r="Y402" s="89" t="s">
        <v>48</v>
      </c>
      <c r="Z402" s="89" t="s">
        <v>49</v>
      </c>
      <c r="AA402" s="89" t="s">
        <v>1860</v>
      </c>
      <c r="AB402" s="89" t="s">
        <v>1671</v>
      </c>
      <c r="AC402" s="83"/>
      <c r="AD402" s="83"/>
      <c r="AE402" s="83"/>
      <c r="AF402" s="83"/>
      <c r="AG402" s="83"/>
      <c r="AH402" s="93" t="s">
        <v>1896</v>
      </c>
      <c r="AI402" s="91"/>
      <c r="AJ402" s="91"/>
      <c r="AK402" s="91"/>
    </row>
    <row r="403" hidden="1">
      <c r="A403" s="79"/>
      <c r="B403" s="80">
        <v>45675.0</v>
      </c>
      <c r="C403" s="80">
        <v>45720.0</v>
      </c>
      <c r="D403" s="81">
        <f t="shared" si="11"/>
        <v>0</v>
      </c>
      <c r="E403" s="82" t="s">
        <v>1308</v>
      </c>
      <c r="F403" s="83"/>
      <c r="G403" s="84"/>
      <c r="H403" s="85" t="s">
        <v>1165</v>
      </c>
      <c r="I403" s="86">
        <v>3.0</v>
      </c>
      <c r="J403" s="87" t="s">
        <v>91</v>
      </c>
      <c r="K403" s="88">
        <v>45728.0</v>
      </c>
      <c r="L403" s="86" t="s">
        <v>1478</v>
      </c>
      <c r="M403" s="89" t="s">
        <v>1901</v>
      </c>
      <c r="N403" s="89" t="s">
        <v>1902</v>
      </c>
      <c r="O403" s="90"/>
      <c r="P403" s="89">
        <v>83341.0</v>
      </c>
      <c r="Q403" s="89" t="s">
        <v>246</v>
      </c>
      <c r="R403" s="89" t="s">
        <v>1482</v>
      </c>
      <c r="S403" s="89">
        <v>4550.0</v>
      </c>
      <c r="T403" s="90"/>
      <c r="U403" s="89" t="s">
        <v>1903</v>
      </c>
      <c r="V403" s="89">
        <v>1.0164563E7</v>
      </c>
      <c r="W403" s="83"/>
      <c r="X403" s="89" t="s">
        <v>47</v>
      </c>
      <c r="Y403" s="89" t="s">
        <v>48</v>
      </c>
      <c r="Z403" s="89" t="s">
        <v>102</v>
      </c>
      <c r="AA403" s="89" t="s">
        <v>72</v>
      </c>
      <c r="AB403" s="89" t="s">
        <v>1719</v>
      </c>
      <c r="AC403" s="83"/>
      <c r="AD403" s="83"/>
      <c r="AE403" s="83"/>
      <c r="AF403" s="83"/>
      <c r="AG403" s="83"/>
      <c r="AH403" s="93" t="s">
        <v>1584</v>
      </c>
      <c r="AI403" s="91"/>
      <c r="AJ403" s="91"/>
      <c r="AK403" s="91"/>
    </row>
    <row r="404" hidden="1">
      <c r="A404" s="79"/>
      <c r="B404" s="80">
        <v>45680.0</v>
      </c>
      <c r="C404" s="80">
        <v>45722.0</v>
      </c>
      <c r="D404" s="81">
        <f t="shared" si="11"/>
        <v>0</v>
      </c>
      <c r="E404" s="82" t="s">
        <v>1308</v>
      </c>
      <c r="F404" s="83"/>
      <c r="G404" s="84"/>
      <c r="H404" s="85" t="s">
        <v>1165</v>
      </c>
      <c r="I404" s="86">
        <v>1.0</v>
      </c>
      <c r="J404" s="87" t="s">
        <v>1420</v>
      </c>
      <c r="K404" s="88">
        <v>45736.0</v>
      </c>
      <c r="L404" s="86" t="s">
        <v>38</v>
      </c>
      <c r="M404" s="92" t="s">
        <v>1904</v>
      </c>
      <c r="N404" s="89" t="s">
        <v>1905</v>
      </c>
      <c r="O404" s="90"/>
      <c r="P404" s="89">
        <v>46482.0</v>
      </c>
      <c r="Q404" s="89" t="s">
        <v>1846</v>
      </c>
      <c r="R404" s="89" t="s">
        <v>1847</v>
      </c>
      <c r="S404" s="89">
        <v>1930.0</v>
      </c>
      <c r="T404" s="90"/>
      <c r="U404" s="89" t="s">
        <v>1906</v>
      </c>
      <c r="V404" s="89" t="s">
        <v>1907</v>
      </c>
      <c r="W404" s="83"/>
      <c r="X404" s="89" t="s">
        <v>47</v>
      </c>
      <c r="Y404" s="89" t="s">
        <v>120</v>
      </c>
      <c r="Z404" s="89" t="s">
        <v>49</v>
      </c>
      <c r="AA404" s="89" t="s">
        <v>72</v>
      </c>
      <c r="AB404" s="89" t="s">
        <v>1276</v>
      </c>
      <c r="AC404" s="83"/>
      <c r="AD404" s="83"/>
      <c r="AE404" s="83"/>
      <c r="AF404" s="83"/>
      <c r="AG404" s="83"/>
      <c r="AH404" s="93" t="s">
        <v>1896</v>
      </c>
      <c r="AI404" s="91"/>
      <c r="AJ404" s="91"/>
      <c r="AK404" s="91"/>
    </row>
    <row r="405" hidden="1">
      <c r="A405" s="79"/>
      <c r="B405" s="80">
        <v>45662.0</v>
      </c>
      <c r="C405" s="80">
        <v>45728.0</v>
      </c>
      <c r="D405" s="81">
        <f t="shared" si="11"/>
        <v>0</v>
      </c>
      <c r="E405" s="82" t="s">
        <v>1908</v>
      </c>
      <c r="F405" s="83"/>
      <c r="G405" s="84"/>
      <c r="H405" s="94" t="s">
        <v>1909</v>
      </c>
      <c r="I405" s="86">
        <v>1.0</v>
      </c>
      <c r="J405" s="87" t="s">
        <v>91</v>
      </c>
      <c r="K405" s="88">
        <v>45741.0</v>
      </c>
      <c r="L405" s="86" t="s">
        <v>1475</v>
      </c>
      <c r="M405" s="89" t="s">
        <v>1910</v>
      </c>
      <c r="N405" s="89">
        <v>5.2434131E7</v>
      </c>
      <c r="O405" s="89" t="s">
        <v>1911</v>
      </c>
      <c r="P405" s="89">
        <v>49941.0</v>
      </c>
      <c r="Q405" s="89" t="s">
        <v>42</v>
      </c>
      <c r="R405" s="89" t="s">
        <v>1912</v>
      </c>
      <c r="S405" s="89">
        <v>2550.0</v>
      </c>
      <c r="T405" s="90"/>
      <c r="U405" s="89" t="s">
        <v>1913</v>
      </c>
      <c r="V405" s="89" t="s">
        <v>1914</v>
      </c>
      <c r="W405" s="83"/>
      <c r="X405" s="89" t="s">
        <v>47</v>
      </c>
      <c r="Y405" s="89" t="s">
        <v>48</v>
      </c>
      <c r="Z405" s="89" t="s">
        <v>102</v>
      </c>
      <c r="AA405" s="89" t="s">
        <v>72</v>
      </c>
      <c r="AB405" s="89" t="s">
        <v>1812</v>
      </c>
      <c r="AC405" s="83"/>
      <c r="AD405" s="83"/>
      <c r="AE405" s="83"/>
      <c r="AF405" s="83"/>
      <c r="AG405" s="83"/>
      <c r="AH405" s="93" t="s">
        <v>1584</v>
      </c>
      <c r="AI405" s="91"/>
      <c r="AJ405" s="91"/>
      <c r="AK405" s="91"/>
    </row>
    <row r="406" hidden="1">
      <c r="A406" s="79"/>
      <c r="B406" s="80">
        <v>45700.0</v>
      </c>
      <c r="C406" s="80">
        <v>45732.0</v>
      </c>
      <c r="D406" s="81">
        <f t="shared" si="11"/>
        <v>0</v>
      </c>
      <c r="E406" s="82" t="s">
        <v>1908</v>
      </c>
      <c r="F406" s="83"/>
      <c r="G406" s="84"/>
      <c r="H406" s="94" t="s">
        <v>1915</v>
      </c>
      <c r="I406" s="86">
        <v>1.0</v>
      </c>
      <c r="J406" s="87" t="s">
        <v>91</v>
      </c>
      <c r="K406" s="88">
        <v>45761.0</v>
      </c>
      <c r="L406" s="86" t="s">
        <v>53</v>
      </c>
      <c r="M406" s="92" t="s">
        <v>1837</v>
      </c>
      <c r="N406" s="89">
        <v>1072174.0</v>
      </c>
      <c r="O406" s="89" t="s">
        <v>1839</v>
      </c>
      <c r="P406" s="89">
        <v>130443.0</v>
      </c>
      <c r="Q406" s="89" t="s">
        <v>1840</v>
      </c>
      <c r="R406" s="89" t="s">
        <v>1841</v>
      </c>
      <c r="S406" s="89">
        <v>3200.0</v>
      </c>
      <c r="T406" s="90"/>
      <c r="U406" s="89" t="s">
        <v>1916</v>
      </c>
      <c r="V406" s="89" t="s">
        <v>1917</v>
      </c>
      <c r="W406" s="83"/>
      <c r="X406" s="89" t="s">
        <v>47</v>
      </c>
      <c r="Y406" s="89" t="s">
        <v>48</v>
      </c>
      <c r="Z406" s="89" t="s">
        <v>102</v>
      </c>
      <c r="AA406" s="89" t="s">
        <v>72</v>
      </c>
      <c r="AB406" s="89" t="s">
        <v>1812</v>
      </c>
      <c r="AC406" s="83"/>
      <c r="AD406" s="83"/>
      <c r="AE406" s="83"/>
      <c r="AF406" s="83"/>
      <c r="AG406" s="83"/>
      <c r="AH406" s="93" t="s">
        <v>1584</v>
      </c>
      <c r="AI406" s="91"/>
      <c r="AJ406" s="91"/>
      <c r="AK406" s="91"/>
    </row>
    <row r="407" hidden="1">
      <c r="A407" s="79"/>
      <c r="B407" s="80">
        <v>45709.0</v>
      </c>
      <c r="C407" s="80">
        <v>45735.0</v>
      </c>
      <c r="D407" s="81">
        <f t="shared" si="11"/>
        <v>0</v>
      </c>
      <c r="E407" s="82" t="s">
        <v>1308</v>
      </c>
      <c r="F407" s="83"/>
      <c r="G407" s="84"/>
      <c r="H407" s="85" t="s">
        <v>1165</v>
      </c>
      <c r="I407" s="86">
        <v>4.0</v>
      </c>
      <c r="J407" s="87" t="s">
        <v>91</v>
      </c>
      <c r="K407" s="88">
        <v>45741.0</v>
      </c>
      <c r="L407" s="86" t="s">
        <v>145</v>
      </c>
      <c r="M407" s="92" t="s">
        <v>1918</v>
      </c>
      <c r="N407" s="89" t="s">
        <v>1919</v>
      </c>
      <c r="O407" s="89" t="s">
        <v>1857</v>
      </c>
      <c r="P407" s="89">
        <v>120099.0</v>
      </c>
      <c r="Q407" s="89" t="s">
        <v>148</v>
      </c>
      <c r="R407" s="89"/>
      <c r="S407" s="89">
        <v>1150.0</v>
      </c>
      <c r="T407" s="90"/>
      <c r="U407" s="89" t="s">
        <v>1920</v>
      </c>
      <c r="V407" s="89" t="s">
        <v>1921</v>
      </c>
      <c r="W407" s="83"/>
      <c r="X407" s="89" t="s">
        <v>47</v>
      </c>
      <c r="Y407" s="89" t="s">
        <v>48</v>
      </c>
      <c r="Z407" s="89" t="s">
        <v>49</v>
      </c>
      <c r="AA407" s="89" t="s">
        <v>1860</v>
      </c>
      <c r="AB407" s="89" t="s">
        <v>1824</v>
      </c>
      <c r="AC407" s="83"/>
      <c r="AD407" s="83"/>
      <c r="AE407" s="83"/>
      <c r="AF407" s="83"/>
      <c r="AG407" s="83"/>
      <c r="AH407" s="93" t="s">
        <v>1584</v>
      </c>
      <c r="AI407" s="91"/>
      <c r="AJ407" s="91"/>
      <c r="AK407" s="91"/>
    </row>
    <row r="408" hidden="1">
      <c r="A408" s="79"/>
      <c r="B408" s="80">
        <v>45715.0</v>
      </c>
      <c r="C408" s="80">
        <v>45735.0</v>
      </c>
      <c r="D408" s="81">
        <f t="shared" si="11"/>
        <v>0</v>
      </c>
      <c r="E408" s="82" t="s">
        <v>1308</v>
      </c>
      <c r="F408" s="83"/>
      <c r="G408" s="84"/>
      <c r="H408" s="94" t="s">
        <v>1165</v>
      </c>
      <c r="I408" s="86">
        <v>1.0</v>
      </c>
      <c r="J408" s="87" t="s">
        <v>91</v>
      </c>
      <c r="K408" s="88">
        <v>45754.0</v>
      </c>
      <c r="L408" s="86" t="s">
        <v>38</v>
      </c>
      <c r="M408" s="92" t="s">
        <v>1922</v>
      </c>
      <c r="N408" s="89" t="s">
        <v>1923</v>
      </c>
      <c r="O408" s="89" t="s">
        <v>1924</v>
      </c>
      <c r="P408" s="89">
        <v>130386.0</v>
      </c>
      <c r="Q408" s="89" t="s">
        <v>370</v>
      </c>
      <c r="R408" s="89" t="s">
        <v>1925</v>
      </c>
      <c r="S408" s="89">
        <v>1615.0</v>
      </c>
      <c r="T408" s="90"/>
      <c r="U408" s="89" t="s">
        <v>1926</v>
      </c>
      <c r="V408" s="89" t="s">
        <v>1927</v>
      </c>
      <c r="W408" s="83"/>
      <c r="X408" s="89" t="s">
        <v>47</v>
      </c>
      <c r="Y408" s="89" t="s">
        <v>120</v>
      </c>
      <c r="Z408" s="89" t="s">
        <v>102</v>
      </c>
      <c r="AA408" s="89" t="s">
        <v>72</v>
      </c>
      <c r="AB408" s="89" t="s">
        <v>1928</v>
      </c>
      <c r="AC408" s="83"/>
      <c r="AD408" s="83"/>
      <c r="AE408" s="83"/>
      <c r="AF408" s="83"/>
      <c r="AG408" s="83"/>
      <c r="AH408" s="93" t="s">
        <v>1584</v>
      </c>
      <c r="AI408" s="91"/>
      <c r="AJ408" s="91"/>
      <c r="AK408" s="91"/>
    </row>
    <row r="409" hidden="1">
      <c r="A409" s="79"/>
      <c r="B409" s="80">
        <v>45690.0</v>
      </c>
      <c r="C409" s="80">
        <v>45735.0</v>
      </c>
      <c r="D409" s="81">
        <f t="shared" si="11"/>
        <v>0</v>
      </c>
      <c r="E409" s="82" t="s">
        <v>1308</v>
      </c>
      <c r="F409" s="83"/>
      <c r="G409" s="84"/>
      <c r="H409" s="85" t="s">
        <v>1165</v>
      </c>
      <c r="I409" s="86">
        <v>1.0</v>
      </c>
      <c r="J409" s="87" t="s">
        <v>1420</v>
      </c>
      <c r="K409" s="88">
        <v>45743.0</v>
      </c>
      <c r="L409" s="86" t="s">
        <v>38</v>
      </c>
      <c r="M409" s="92" t="s">
        <v>1929</v>
      </c>
      <c r="N409" s="89" t="s">
        <v>1930</v>
      </c>
      <c r="O409" s="89" t="s">
        <v>1931</v>
      </c>
      <c r="P409" s="89">
        <v>57126.0</v>
      </c>
      <c r="Q409" s="89" t="s">
        <v>1846</v>
      </c>
      <c r="R409" s="89" t="s">
        <v>111</v>
      </c>
      <c r="S409" s="89">
        <v>1930.0</v>
      </c>
      <c r="T409" s="90"/>
      <c r="U409" s="89" t="s">
        <v>1932</v>
      </c>
      <c r="V409" s="89" t="s">
        <v>1933</v>
      </c>
      <c r="W409" s="83"/>
      <c r="X409" s="89" t="s">
        <v>47</v>
      </c>
      <c r="Y409" s="89" t="s">
        <v>120</v>
      </c>
      <c r="Z409" s="89" t="s">
        <v>49</v>
      </c>
      <c r="AA409" s="89" t="s">
        <v>72</v>
      </c>
      <c r="AB409" s="89" t="s">
        <v>1276</v>
      </c>
      <c r="AC409" s="83"/>
      <c r="AD409" s="83"/>
      <c r="AE409" s="83"/>
      <c r="AF409" s="83"/>
      <c r="AG409" s="83"/>
      <c r="AH409" s="93" t="s">
        <v>1896</v>
      </c>
      <c r="AI409" s="91"/>
      <c r="AJ409" s="91"/>
      <c r="AK409" s="91"/>
    </row>
    <row r="410" hidden="1">
      <c r="A410" s="79"/>
      <c r="B410" s="80">
        <v>45706.0</v>
      </c>
      <c r="C410" s="80">
        <v>45735.0</v>
      </c>
      <c r="D410" s="81">
        <f t="shared" si="11"/>
        <v>0</v>
      </c>
      <c r="E410" s="82" t="s">
        <v>1308</v>
      </c>
      <c r="F410" s="83"/>
      <c r="G410" s="84"/>
      <c r="H410" s="85" t="s">
        <v>1165</v>
      </c>
      <c r="I410" s="86">
        <v>6.0</v>
      </c>
      <c r="J410" s="87" t="s">
        <v>91</v>
      </c>
      <c r="K410" s="88">
        <v>45743.0</v>
      </c>
      <c r="L410" s="86" t="s">
        <v>1890</v>
      </c>
      <c r="M410" s="92" t="s">
        <v>1934</v>
      </c>
      <c r="N410" s="89" t="s">
        <v>1935</v>
      </c>
      <c r="O410" s="89" t="s">
        <v>1893</v>
      </c>
      <c r="P410" s="89">
        <v>122535.0</v>
      </c>
      <c r="Q410" s="89" t="s">
        <v>148</v>
      </c>
      <c r="R410" s="89" t="s">
        <v>254</v>
      </c>
      <c r="S410" s="89" t="s">
        <v>1936</v>
      </c>
      <c r="T410" s="90"/>
      <c r="U410" s="89" t="s">
        <v>1937</v>
      </c>
      <c r="V410" s="89" t="s">
        <v>1938</v>
      </c>
      <c r="W410" s="83"/>
      <c r="X410" s="89" t="s">
        <v>47</v>
      </c>
      <c r="Y410" s="89" t="s">
        <v>1939</v>
      </c>
      <c r="Z410" s="89" t="s">
        <v>102</v>
      </c>
      <c r="AA410" s="89" t="s">
        <v>1860</v>
      </c>
      <c r="AB410" s="89" t="s">
        <v>1824</v>
      </c>
      <c r="AC410" s="83"/>
      <c r="AD410" s="83"/>
      <c r="AE410" s="83"/>
      <c r="AF410" s="83"/>
      <c r="AG410" s="83"/>
      <c r="AH410" s="93" t="s">
        <v>1896</v>
      </c>
      <c r="AI410" s="91"/>
      <c r="AJ410" s="91"/>
      <c r="AK410" s="91"/>
    </row>
    <row r="411" hidden="1">
      <c r="A411" s="79"/>
      <c r="B411" s="80">
        <v>45703.0</v>
      </c>
      <c r="C411" s="80">
        <v>45738.0</v>
      </c>
      <c r="D411" s="81">
        <f t="shared" si="11"/>
        <v>0</v>
      </c>
      <c r="E411" s="89" t="s">
        <v>1908</v>
      </c>
      <c r="F411" s="83"/>
      <c r="G411" s="84"/>
      <c r="H411" s="94" t="s">
        <v>1909</v>
      </c>
      <c r="I411" s="86">
        <v>1.0</v>
      </c>
      <c r="J411" s="87" t="s">
        <v>1420</v>
      </c>
      <c r="K411" s="88">
        <v>45756.0</v>
      </c>
      <c r="L411" s="86" t="s">
        <v>38</v>
      </c>
      <c r="M411" s="92" t="s">
        <v>1940</v>
      </c>
      <c r="N411" s="89" t="s">
        <v>1941</v>
      </c>
      <c r="O411" s="89" t="s">
        <v>1942</v>
      </c>
      <c r="P411" s="89">
        <v>65987.0</v>
      </c>
      <c r="Q411" s="89" t="s">
        <v>42</v>
      </c>
      <c r="R411" s="89" t="s">
        <v>105</v>
      </c>
      <c r="S411" s="89">
        <v>1875.0</v>
      </c>
      <c r="T411" s="90"/>
      <c r="U411" s="89" t="s">
        <v>1943</v>
      </c>
      <c r="V411" s="90"/>
      <c r="W411" s="83"/>
      <c r="X411" s="89" t="s">
        <v>47</v>
      </c>
      <c r="Y411" s="89" t="s">
        <v>48</v>
      </c>
      <c r="Z411" s="89" t="s">
        <v>49</v>
      </c>
      <c r="AA411" s="89" t="s">
        <v>1860</v>
      </c>
      <c r="AB411" s="89" t="s">
        <v>1824</v>
      </c>
      <c r="AC411" s="83"/>
      <c r="AD411" s="83"/>
      <c r="AE411" s="83"/>
      <c r="AF411" s="83"/>
      <c r="AG411" s="83"/>
      <c r="AH411" s="93" t="s">
        <v>1584</v>
      </c>
      <c r="AI411" s="91"/>
      <c r="AJ411" s="91"/>
      <c r="AK411" s="91"/>
    </row>
    <row r="412" hidden="1">
      <c r="A412" s="91"/>
      <c r="B412" s="80">
        <v>45727.0</v>
      </c>
      <c r="C412" s="80">
        <v>45738.0</v>
      </c>
      <c r="D412" s="81">
        <f t="shared" si="11"/>
        <v>0</v>
      </c>
      <c r="E412" s="82" t="s">
        <v>1944</v>
      </c>
      <c r="F412" s="83"/>
      <c r="G412" s="84"/>
      <c r="H412" s="94" t="s">
        <v>1915</v>
      </c>
      <c r="I412" s="86">
        <v>9.0</v>
      </c>
      <c r="J412" s="87" t="s">
        <v>91</v>
      </c>
      <c r="K412" s="88">
        <v>45758.0</v>
      </c>
      <c r="L412" s="86" t="s">
        <v>555</v>
      </c>
      <c r="M412" s="92" t="s">
        <v>1945</v>
      </c>
      <c r="N412" s="89" t="s">
        <v>1946</v>
      </c>
      <c r="O412" s="90"/>
      <c r="P412" s="89">
        <v>130365.0</v>
      </c>
      <c r="Q412" s="89" t="s">
        <v>477</v>
      </c>
      <c r="R412" s="89" t="s">
        <v>559</v>
      </c>
      <c r="S412" s="89">
        <v>1270.0</v>
      </c>
      <c r="T412" s="90"/>
      <c r="U412" s="89" t="s">
        <v>1947</v>
      </c>
      <c r="V412" s="89">
        <v>3.100071969E9</v>
      </c>
      <c r="W412" s="83"/>
      <c r="X412" s="89" t="s">
        <v>1023</v>
      </c>
      <c r="Y412" s="89" t="s">
        <v>48</v>
      </c>
      <c r="Z412" s="89" t="s">
        <v>102</v>
      </c>
      <c r="AA412" s="89" t="s">
        <v>72</v>
      </c>
      <c r="AB412" s="89" t="s">
        <v>1812</v>
      </c>
      <c r="AC412" s="83"/>
      <c r="AD412" s="83"/>
      <c r="AE412" s="83"/>
      <c r="AF412" s="83"/>
      <c r="AG412" s="83"/>
      <c r="AH412" s="93" t="s">
        <v>1584</v>
      </c>
      <c r="AI412" s="91"/>
      <c r="AJ412" s="91"/>
      <c r="AK412" s="91"/>
    </row>
    <row r="413" hidden="1">
      <c r="A413" s="79"/>
      <c r="B413" s="80">
        <v>45710.0</v>
      </c>
      <c r="C413" s="80">
        <v>45740.0</v>
      </c>
      <c r="D413" s="81">
        <f t="shared" si="11"/>
        <v>0</v>
      </c>
      <c r="E413" s="82" t="s">
        <v>1944</v>
      </c>
      <c r="F413" s="83"/>
      <c r="G413" s="84"/>
      <c r="H413" s="94" t="s">
        <v>1915</v>
      </c>
      <c r="I413" s="86">
        <v>3.0</v>
      </c>
      <c r="J413" s="87" t="s">
        <v>91</v>
      </c>
      <c r="K413" s="88">
        <v>45757.0</v>
      </c>
      <c r="L413" s="86" t="s">
        <v>1283</v>
      </c>
      <c r="M413" s="92" t="s">
        <v>1948</v>
      </c>
      <c r="N413" s="89" t="s">
        <v>1949</v>
      </c>
      <c r="O413" s="89" t="s">
        <v>1950</v>
      </c>
      <c r="P413" s="89">
        <v>130435.0</v>
      </c>
      <c r="Q413" s="89" t="s">
        <v>171</v>
      </c>
      <c r="R413" s="89" t="s">
        <v>1273</v>
      </c>
      <c r="S413" s="89">
        <v>2000.0</v>
      </c>
      <c r="T413" s="90"/>
      <c r="U413" s="89" t="s">
        <v>1951</v>
      </c>
      <c r="V413" s="89" t="s">
        <v>1952</v>
      </c>
      <c r="W413" s="83"/>
      <c r="X413" s="89" t="s">
        <v>47</v>
      </c>
      <c r="Y413" s="89" t="s">
        <v>48</v>
      </c>
      <c r="Z413" s="89" t="s">
        <v>102</v>
      </c>
      <c r="AA413" s="89" t="s">
        <v>72</v>
      </c>
      <c r="AB413" s="89" t="s">
        <v>1812</v>
      </c>
      <c r="AC413" s="83"/>
      <c r="AD413" s="83"/>
      <c r="AE413" s="83"/>
      <c r="AF413" s="83"/>
      <c r="AG413" s="83"/>
      <c r="AH413" s="93" t="s">
        <v>1896</v>
      </c>
      <c r="AI413" s="91"/>
      <c r="AJ413" s="91"/>
      <c r="AK413" s="91"/>
    </row>
    <row r="414" hidden="1">
      <c r="A414" s="79"/>
      <c r="B414" s="80">
        <v>45674.0</v>
      </c>
      <c r="C414" s="80">
        <v>45742.0</v>
      </c>
      <c r="D414" s="81">
        <f t="shared" si="11"/>
        <v>0</v>
      </c>
      <c r="E414" s="82" t="s">
        <v>1944</v>
      </c>
      <c r="F414" s="83"/>
      <c r="G414" s="84"/>
      <c r="H414" s="94" t="s">
        <v>1915</v>
      </c>
      <c r="I414" s="86">
        <v>1.0</v>
      </c>
      <c r="J414" s="87" t="s">
        <v>91</v>
      </c>
      <c r="K414" s="88">
        <v>45760.0</v>
      </c>
      <c r="L414" s="86" t="s">
        <v>53</v>
      </c>
      <c r="M414" s="89" t="s">
        <v>1953</v>
      </c>
      <c r="N414" s="89">
        <v>1064228.0</v>
      </c>
      <c r="O414" s="89" t="s">
        <v>1954</v>
      </c>
      <c r="P414" s="89">
        <v>130595.0</v>
      </c>
      <c r="Q414" s="89" t="s">
        <v>160</v>
      </c>
      <c r="R414" s="89" t="s">
        <v>491</v>
      </c>
      <c r="S414" s="89" t="s">
        <v>1955</v>
      </c>
      <c r="T414" s="90"/>
      <c r="U414" s="89" t="s">
        <v>1956</v>
      </c>
      <c r="V414" s="89" t="s">
        <v>1957</v>
      </c>
      <c r="W414" s="83"/>
      <c r="X414" s="89" t="s">
        <v>47</v>
      </c>
      <c r="Y414" s="89" t="s">
        <v>48</v>
      </c>
      <c r="Z414" s="89" t="s">
        <v>102</v>
      </c>
      <c r="AA414" s="89" t="s">
        <v>72</v>
      </c>
      <c r="AB414" s="89" t="s">
        <v>1824</v>
      </c>
      <c r="AC414" s="83"/>
      <c r="AD414" s="83"/>
      <c r="AE414" s="83"/>
      <c r="AF414" s="83"/>
      <c r="AG414" s="83"/>
      <c r="AH414" s="93" t="s">
        <v>1896</v>
      </c>
      <c r="AI414" s="91"/>
      <c r="AJ414" s="91"/>
      <c r="AK414" s="91"/>
    </row>
    <row r="415" hidden="1">
      <c r="A415" s="79"/>
      <c r="B415" s="80">
        <v>45721.0</v>
      </c>
      <c r="C415" s="80">
        <v>45742.0</v>
      </c>
      <c r="D415" s="81">
        <f t="shared" si="11"/>
        <v>0</v>
      </c>
      <c r="E415" s="82" t="s">
        <v>1944</v>
      </c>
      <c r="F415" s="83"/>
      <c r="G415" s="84"/>
      <c r="H415" s="94" t="s">
        <v>1915</v>
      </c>
      <c r="I415" s="86">
        <v>1.0</v>
      </c>
      <c r="J415" s="87" t="s">
        <v>91</v>
      </c>
      <c r="K415" s="88">
        <v>45761.0</v>
      </c>
      <c r="L415" s="86" t="s">
        <v>270</v>
      </c>
      <c r="M415" s="92" t="s">
        <v>1958</v>
      </c>
      <c r="N415" s="89">
        <v>5.70303461E8</v>
      </c>
      <c r="O415" s="90"/>
      <c r="P415" s="89">
        <v>130939.0</v>
      </c>
      <c r="Q415" s="89" t="s">
        <v>274</v>
      </c>
      <c r="R415" s="89" t="s">
        <v>1959</v>
      </c>
      <c r="S415" s="89">
        <v>2350.0</v>
      </c>
      <c r="T415" s="90"/>
      <c r="U415" s="89" t="s">
        <v>1960</v>
      </c>
      <c r="V415" s="89" t="s">
        <v>1961</v>
      </c>
      <c r="W415" s="83"/>
      <c r="X415" s="89" t="s">
        <v>47</v>
      </c>
      <c r="Y415" s="89" t="s">
        <v>48</v>
      </c>
      <c r="Z415" s="89" t="s">
        <v>102</v>
      </c>
      <c r="AA415" s="89" t="s">
        <v>970</v>
      </c>
      <c r="AB415" s="89" t="s">
        <v>1410</v>
      </c>
      <c r="AC415" s="83"/>
      <c r="AD415" s="83"/>
      <c r="AE415" s="83"/>
      <c r="AF415" s="83"/>
      <c r="AG415" s="83"/>
      <c r="AH415" s="93" t="s">
        <v>1896</v>
      </c>
      <c r="AI415" s="91"/>
      <c r="AJ415" s="91"/>
      <c r="AK415" s="91"/>
    </row>
    <row r="416" hidden="1">
      <c r="A416" s="79"/>
      <c r="B416" s="80">
        <v>45716.0</v>
      </c>
      <c r="C416" s="80">
        <v>45745.0</v>
      </c>
      <c r="D416" s="81">
        <f t="shared" si="11"/>
        <v>0</v>
      </c>
      <c r="E416" s="89" t="s">
        <v>1908</v>
      </c>
      <c r="F416" s="83"/>
      <c r="G416" s="84"/>
      <c r="H416" s="94" t="s">
        <v>1909</v>
      </c>
      <c r="I416" s="86">
        <v>1.0</v>
      </c>
      <c r="J416" s="87" t="s">
        <v>1420</v>
      </c>
      <c r="K416" s="88">
        <v>45756.0</v>
      </c>
      <c r="L416" s="86" t="s">
        <v>38</v>
      </c>
      <c r="M416" s="92" t="s">
        <v>1962</v>
      </c>
      <c r="N416" s="89" t="s">
        <v>1963</v>
      </c>
      <c r="O416" s="89" t="s">
        <v>1964</v>
      </c>
      <c r="P416" s="89">
        <v>63144.0</v>
      </c>
      <c r="Q416" s="89" t="s">
        <v>42</v>
      </c>
      <c r="R416" s="89" t="s">
        <v>43</v>
      </c>
      <c r="S416" s="89">
        <v>1950.0</v>
      </c>
      <c r="T416" s="90"/>
      <c r="U416" s="89" t="s">
        <v>1965</v>
      </c>
      <c r="V416" s="89" t="s">
        <v>1966</v>
      </c>
      <c r="W416" s="83"/>
      <c r="X416" s="89" t="s">
        <v>47</v>
      </c>
      <c r="Y416" s="89" t="s">
        <v>48</v>
      </c>
      <c r="Z416" s="89" t="s">
        <v>49</v>
      </c>
      <c r="AA416" s="89" t="s">
        <v>1860</v>
      </c>
      <c r="AB416" s="89" t="s">
        <v>1149</v>
      </c>
      <c r="AC416" s="83"/>
      <c r="AD416" s="83"/>
      <c r="AE416" s="83"/>
      <c r="AF416" s="83"/>
      <c r="AG416" s="83"/>
      <c r="AH416" s="93" t="s">
        <v>1584</v>
      </c>
      <c r="AI416" s="91"/>
      <c r="AJ416" s="91"/>
      <c r="AK416" s="91"/>
    </row>
    <row r="417" hidden="1">
      <c r="A417" s="79"/>
      <c r="B417" s="80">
        <v>45716.0</v>
      </c>
      <c r="C417" s="80">
        <v>45745.0</v>
      </c>
      <c r="D417" s="81">
        <f t="shared" si="11"/>
        <v>0</v>
      </c>
      <c r="E417" s="89" t="s">
        <v>1908</v>
      </c>
      <c r="F417" s="83"/>
      <c r="G417" s="84"/>
      <c r="H417" s="94" t="s">
        <v>1909</v>
      </c>
      <c r="I417" s="86">
        <v>2.0</v>
      </c>
      <c r="J417" s="95"/>
      <c r="K417" s="88">
        <v>45761.0</v>
      </c>
      <c r="L417" s="86" t="s">
        <v>38</v>
      </c>
      <c r="M417" s="92" t="s">
        <v>1967</v>
      </c>
      <c r="N417" s="89" t="s">
        <v>1968</v>
      </c>
      <c r="O417" s="89" t="s">
        <v>1969</v>
      </c>
      <c r="P417" s="89">
        <v>69054.0</v>
      </c>
      <c r="Q417" s="89" t="s">
        <v>1970</v>
      </c>
      <c r="R417" s="89" t="s">
        <v>1971</v>
      </c>
      <c r="S417" s="89">
        <v>1950.0</v>
      </c>
      <c r="T417" s="90"/>
      <c r="U417" s="89" t="s">
        <v>1972</v>
      </c>
      <c r="V417" s="89" t="s">
        <v>1973</v>
      </c>
      <c r="W417" s="83"/>
      <c r="X417" s="89" t="s">
        <v>47</v>
      </c>
      <c r="Y417" s="89" t="s">
        <v>48</v>
      </c>
      <c r="Z417" s="89" t="s">
        <v>49</v>
      </c>
      <c r="AA417" s="89" t="s">
        <v>72</v>
      </c>
      <c r="AB417" s="89" t="s">
        <v>1149</v>
      </c>
      <c r="AC417" s="83"/>
      <c r="AD417" s="83"/>
      <c r="AE417" s="83"/>
      <c r="AF417" s="83"/>
      <c r="AG417" s="83"/>
      <c r="AH417" s="93" t="s">
        <v>1896</v>
      </c>
      <c r="AI417" s="91"/>
      <c r="AJ417" s="91"/>
      <c r="AK417" s="91"/>
    </row>
    <row r="418" hidden="1">
      <c r="A418" s="79"/>
      <c r="B418" s="80">
        <v>45712.0</v>
      </c>
      <c r="C418" s="80">
        <v>45746.0</v>
      </c>
      <c r="D418" s="81">
        <f t="shared" si="11"/>
        <v>0</v>
      </c>
      <c r="E418" s="82" t="s">
        <v>1308</v>
      </c>
      <c r="F418" s="83"/>
      <c r="G418" s="84"/>
      <c r="H418" s="94" t="s">
        <v>1165</v>
      </c>
      <c r="I418" s="86">
        <v>1.0</v>
      </c>
      <c r="J418" s="87" t="s">
        <v>91</v>
      </c>
      <c r="K418" s="88">
        <v>45752.0</v>
      </c>
      <c r="L418" s="86" t="s">
        <v>145</v>
      </c>
      <c r="M418" s="96"/>
      <c r="N418" s="89">
        <v>959242.0</v>
      </c>
      <c r="O418" s="89" t="s">
        <v>1857</v>
      </c>
      <c r="P418" s="89">
        <v>140030.0</v>
      </c>
      <c r="Q418" s="89" t="s">
        <v>148</v>
      </c>
      <c r="R418" s="89" t="s">
        <v>149</v>
      </c>
      <c r="S418" s="89">
        <v>1150.0</v>
      </c>
      <c r="T418" s="90"/>
      <c r="U418" s="89" t="s">
        <v>1974</v>
      </c>
      <c r="V418" s="89" t="s">
        <v>1975</v>
      </c>
      <c r="W418" s="83"/>
      <c r="X418" s="89" t="s">
        <v>47</v>
      </c>
      <c r="Y418" s="89" t="s">
        <v>48</v>
      </c>
      <c r="Z418" s="89" t="s">
        <v>49</v>
      </c>
      <c r="AA418" s="89" t="s">
        <v>1860</v>
      </c>
      <c r="AB418" s="89" t="s">
        <v>1824</v>
      </c>
      <c r="AC418" s="83"/>
      <c r="AD418" s="83"/>
      <c r="AE418" s="83"/>
      <c r="AF418" s="83"/>
      <c r="AG418" s="83"/>
      <c r="AH418" s="93" t="s">
        <v>1584</v>
      </c>
      <c r="AI418" s="91"/>
      <c r="AJ418" s="91"/>
      <c r="AK418" s="91"/>
    </row>
    <row r="419" hidden="1">
      <c r="A419" s="79"/>
      <c r="B419" s="80">
        <v>45714.0</v>
      </c>
      <c r="C419" s="80">
        <v>45746.0</v>
      </c>
      <c r="D419" s="81">
        <f t="shared" si="11"/>
        <v>0</v>
      </c>
      <c r="E419" s="89" t="s">
        <v>1908</v>
      </c>
      <c r="F419" s="83"/>
      <c r="G419" s="84"/>
      <c r="H419" s="94" t="s">
        <v>1909</v>
      </c>
      <c r="I419" s="86">
        <v>1.0</v>
      </c>
      <c r="J419" s="87" t="s">
        <v>1420</v>
      </c>
      <c r="K419" s="88">
        <v>45758.0</v>
      </c>
      <c r="L419" s="86" t="s">
        <v>38</v>
      </c>
      <c r="M419" s="92" t="s">
        <v>1976</v>
      </c>
      <c r="N419" s="89" t="s">
        <v>1977</v>
      </c>
      <c r="O419" s="89" t="s">
        <v>1978</v>
      </c>
      <c r="P419" s="89">
        <v>64959.0</v>
      </c>
      <c r="Q419" s="89" t="s">
        <v>1846</v>
      </c>
      <c r="R419" s="89" t="s">
        <v>1847</v>
      </c>
      <c r="S419" s="89">
        <v>1550.0</v>
      </c>
      <c r="T419" s="90"/>
      <c r="U419" s="89" t="s">
        <v>1979</v>
      </c>
      <c r="V419" s="89" t="s">
        <v>1980</v>
      </c>
      <c r="W419" s="83"/>
      <c r="X419" s="89" t="s">
        <v>47</v>
      </c>
      <c r="Y419" s="89" t="s">
        <v>120</v>
      </c>
      <c r="Z419" s="89" t="s">
        <v>49</v>
      </c>
      <c r="AA419" s="89" t="s">
        <v>72</v>
      </c>
      <c r="AB419" s="89" t="s">
        <v>1812</v>
      </c>
      <c r="AC419" s="83"/>
      <c r="AD419" s="83"/>
      <c r="AE419" s="83"/>
      <c r="AF419" s="83"/>
      <c r="AG419" s="83"/>
      <c r="AH419" s="93" t="s">
        <v>1584</v>
      </c>
      <c r="AI419" s="91"/>
      <c r="AJ419" s="91"/>
      <c r="AK419" s="91"/>
    </row>
    <row r="420" hidden="1">
      <c r="A420" s="79"/>
      <c r="B420" s="80">
        <v>45716.0</v>
      </c>
      <c r="C420" s="80">
        <v>45746.0</v>
      </c>
      <c r="D420" s="81">
        <f t="shared" si="11"/>
        <v>0</v>
      </c>
      <c r="E420" s="89" t="s">
        <v>1908</v>
      </c>
      <c r="F420" s="83"/>
      <c r="G420" s="84"/>
      <c r="H420" s="94" t="s">
        <v>1909</v>
      </c>
      <c r="I420" s="86">
        <v>1.0</v>
      </c>
      <c r="J420" s="87" t="s">
        <v>1420</v>
      </c>
      <c r="K420" s="88">
        <v>45758.0</v>
      </c>
      <c r="L420" s="86" t="s">
        <v>38</v>
      </c>
      <c r="M420" s="92" t="s">
        <v>1981</v>
      </c>
      <c r="N420" s="89" t="s">
        <v>1982</v>
      </c>
      <c r="O420" s="90"/>
      <c r="P420" s="89">
        <v>65992.0</v>
      </c>
      <c r="Q420" s="89" t="s">
        <v>42</v>
      </c>
      <c r="R420" s="89" t="s">
        <v>43</v>
      </c>
      <c r="S420" s="89">
        <v>2830.0</v>
      </c>
      <c r="T420" s="90"/>
      <c r="U420" s="89" t="s">
        <v>1983</v>
      </c>
      <c r="V420" s="89" t="s">
        <v>1984</v>
      </c>
      <c r="W420" s="83"/>
      <c r="X420" s="89" t="s">
        <v>47</v>
      </c>
      <c r="Y420" s="89" t="s">
        <v>48</v>
      </c>
      <c r="Z420" s="89" t="s">
        <v>49</v>
      </c>
      <c r="AA420" s="89" t="s">
        <v>1860</v>
      </c>
      <c r="AB420" s="90"/>
      <c r="AC420" s="83"/>
      <c r="AD420" s="83"/>
      <c r="AE420" s="83"/>
      <c r="AF420" s="83"/>
      <c r="AG420" s="83"/>
      <c r="AH420" s="93" t="s">
        <v>1584</v>
      </c>
      <c r="AI420" s="91"/>
      <c r="AJ420" s="91"/>
      <c r="AK420" s="91"/>
    </row>
    <row r="421" hidden="1">
      <c r="A421" s="79"/>
      <c r="B421" s="80">
        <v>45723.0</v>
      </c>
      <c r="C421" s="80">
        <v>45746.0</v>
      </c>
      <c r="D421" s="81">
        <f t="shared" si="11"/>
        <v>0</v>
      </c>
      <c r="E421" s="82" t="s">
        <v>1944</v>
      </c>
      <c r="F421" s="83"/>
      <c r="G421" s="84"/>
      <c r="H421" s="94" t="s">
        <v>1915</v>
      </c>
      <c r="I421" s="86">
        <v>2.0</v>
      </c>
      <c r="J421" s="87" t="s">
        <v>91</v>
      </c>
      <c r="K421" s="88">
        <v>45760.0</v>
      </c>
      <c r="L421" s="86" t="s">
        <v>503</v>
      </c>
      <c r="M421" s="92" t="s">
        <v>1131</v>
      </c>
      <c r="N421" s="89" t="s">
        <v>1985</v>
      </c>
      <c r="O421" s="89" t="s">
        <v>1986</v>
      </c>
      <c r="P421" s="89">
        <v>145003.0</v>
      </c>
      <c r="Q421" s="89" t="s">
        <v>148</v>
      </c>
      <c r="R421" s="89" t="s">
        <v>1987</v>
      </c>
      <c r="S421" s="89" t="s">
        <v>1988</v>
      </c>
      <c r="T421" s="90"/>
      <c r="U421" s="89" t="s">
        <v>1989</v>
      </c>
      <c r="V421" s="89" t="s">
        <v>1990</v>
      </c>
      <c r="W421" s="83"/>
      <c r="X421" s="89" t="s">
        <v>47</v>
      </c>
      <c r="Y421" s="89" t="s">
        <v>48</v>
      </c>
      <c r="Z421" s="89" t="s">
        <v>102</v>
      </c>
      <c r="AA421" s="89" t="s">
        <v>72</v>
      </c>
      <c r="AB421" s="89" t="s">
        <v>165</v>
      </c>
      <c r="AC421" s="83"/>
      <c r="AD421" s="83"/>
      <c r="AE421" s="83"/>
      <c r="AF421" s="83"/>
      <c r="AG421" s="83"/>
      <c r="AH421" s="93" t="s">
        <v>1896</v>
      </c>
      <c r="AI421" s="91"/>
      <c r="AJ421" s="91"/>
      <c r="AK421" s="91"/>
    </row>
    <row r="422" hidden="1">
      <c r="A422" s="79"/>
      <c r="B422" s="86">
        <v>1.0</v>
      </c>
      <c r="C422" s="80">
        <v>45746.0</v>
      </c>
      <c r="D422" s="81">
        <f t="shared" si="11"/>
        <v>0</v>
      </c>
      <c r="E422" s="82" t="s">
        <v>1944</v>
      </c>
      <c r="F422" s="83"/>
      <c r="G422" s="84"/>
      <c r="H422" s="94" t="s">
        <v>1915</v>
      </c>
      <c r="I422" s="86">
        <v>1.0</v>
      </c>
      <c r="J422" s="87" t="s">
        <v>91</v>
      </c>
      <c r="K422" s="88">
        <v>45756.0</v>
      </c>
      <c r="L422" s="86" t="s">
        <v>270</v>
      </c>
      <c r="M422" s="92" t="s">
        <v>1991</v>
      </c>
      <c r="N422" s="89">
        <v>5.70302578E8</v>
      </c>
      <c r="O422" s="90"/>
      <c r="P422" s="89">
        <v>139486.0</v>
      </c>
      <c r="Q422" s="89" t="s">
        <v>274</v>
      </c>
      <c r="R422" s="89" t="s">
        <v>1959</v>
      </c>
      <c r="S422" s="89">
        <v>2350.0</v>
      </c>
      <c r="T422" s="90"/>
      <c r="U422" s="89" t="s">
        <v>1992</v>
      </c>
      <c r="V422" s="89" t="s">
        <v>1993</v>
      </c>
      <c r="W422" s="83"/>
      <c r="X422" s="89" t="s">
        <v>47</v>
      </c>
      <c r="Y422" s="89" t="s">
        <v>48</v>
      </c>
      <c r="Z422" s="89" t="s">
        <v>102</v>
      </c>
      <c r="AA422" s="89" t="s">
        <v>970</v>
      </c>
      <c r="AB422" s="89" t="s">
        <v>1410</v>
      </c>
      <c r="AC422" s="83"/>
      <c r="AD422" s="83"/>
      <c r="AE422" s="83"/>
      <c r="AF422" s="83"/>
      <c r="AG422" s="83"/>
      <c r="AH422" s="93" t="s">
        <v>1896</v>
      </c>
      <c r="AI422" s="91"/>
      <c r="AJ422" s="91"/>
      <c r="AK422" s="91"/>
    </row>
    <row r="423" hidden="1">
      <c r="A423" s="79"/>
      <c r="B423" s="80">
        <v>45725.0</v>
      </c>
      <c r="C423" s="80">
        <v>45746.0</v>
      </c>
      <c r="D423" s="81">
        <f t="shared" si="11"/>
        <v>0</v>
      </c>
      <c r="E423" s="82" t="s">
        <v>1308</v>
      </c>
      <c r="F423" s="83"/>
      <c r="G423" s="84"/>
      <c r="H423" s="94" t="s">
        <v>1165</v>
      </c>
      <c r="I423" s="86">
        <v>1.0</v>
      </c>
      <c r="J423" s="87" t="s">
        <v>91</v>
      </c>
      <c r="K423" s="88">
        <v>45752.0</v>
      </c>
      <c r="L423" s="86" t="s">
        <v>270</v>
      </c>
      <c r="M423" s="92" t="s">
        <v>1991</v>
      </c>
      <c r="N423" s="89">
        <v>5.70303024E8</v>
      </c>
      <c r="O423" s="90"/>
      <c r="P423" s="89">
        <v>139944.0</v>
      </c>
      <c r="Q423" s="89" t="s">
        <v>274</v>
      </c>
      <c r="R423" s="89" t="s">
        <v>1959</v>
      </c>
      <c r="S423" s="89">
        <v>2350.0</v>
      </c>
      <c r="T423" s="90"/>
      <c r="U423" s="89" t="s">
        <v>1994</v>
      </c>
      <c r="V423" s="89" t="s">
        <v>1995</v>
      </c>
      <c r="W423" s="83"/>
      <c r="X423" s="89" t="s">
        <v>47</v>
      </c>
      <c r="Y423" s="89" t="s">
        <v>48</v>
      </c>
      <c r="Z423" s="89" t="s">
        <v>102</v>
      </c>
      <c r="AA423" s="89" t="s">
        <v>970</v>
      </c>
      <c r="AB423" s="89" t="s">
        <v>1410</v>
      </c>
      <c r="AC423" s="83"/>
      <c r="AD423" s="83"/>
      <c r="AE423" s="83"/>
      <c r="AF423" s="83"/>
      <c r="AG423" s="83"/>
      <c r="AH423" s="93" t="s">
        <v>1896</v>
      </c>
      <c r="AI423" s="91"/>
      <c r="AJ423" s="91"/>
      <c r="AK423" s="91"/>
    </row>
    <row r="424" hidden="1">
      <c r="A424" s="79"/>
      <c r="B424" s="80">
        <v>45725.0</v>
      </c>
      <c r="C424" s="80">
        <v>45746.0</v>
      </c>
      <c r="D424" s="81">
        <f t="shared" si="11"/>
        <v>0</v>
      </c>
      <c r="E424" s="82" t="s">
        <v>1944</v>
      </c>
      <c r="F424" s="83"/>
      <c r="G424" s="84"/>
      <c r="H424" s="94" t="s">
        <v>1915</v>
      </c>
      <c r="I424" s="86">
        <v>2.0</v>
      </c>
      <c r="J424" s="87" t="s">
        <v>91</v>
      </c>
      <c r="K424" s="88">
        <v>45756.0</v>
      </c>
      <c r="L424" s="86" t="s">
        <v>270</v>
      </c>
      <c r="M424" s="92" t="s">
        <v>1996</v>
      </c>
      <c r="N424" s="89" t="s">
        <v>1997</v>
      </c>
      <c r="O424" s="90"/>
      <c r="P424" s="89">
        <v>139531.0</v>
      </c>
      <c r="Q424" s="89" t="s">
        <v>274</v>
      </c>
      <c r="R424" s="89" t="s">
        <v>1959</v>
      </c>
      <c r="S424" s="89">
        <v>2350.0</v>
      </c>
      <c r="T424" s="90"/>
      <c r="U424" s="89" t="s">
        <v>1998</v>
      </c>
      <c r="V424" s="89" t="s">
        <v>1999</v>
      </c>
      <c r="W424" s="83"/>
      <c r="X424" s="89" t="s">
        <v>47</v>
      </c>
      <c r="Y424" s="89" t="s">
        <v>48</v>
      </c>
      <c r="Z424" s="89" t="s">
        <v>102</v>
      </c>
      <c r="AA424" s="89" t="s">
        <v>970</v>
      </c>
      <c r="AB424" s="89" t="s">
        <v>1410</v>
      </c>
      <c r="AC424" s="83"/>
      <c r="AD424" s="83"/>
      <c r="AE424" s="83"/>
      <c r="AF424" s="83"/>
      <c r="AG424" s="83"/>
      <c r="AH424" s="93" t="s">
        <v>1896</v>
      </c>
      <c r="AI424" s="91"/>
      <c r="AJ424" s="91"/>
      <c r="AK424" s="91"/>
    </row>
    <row r="425" hidden="1">
      <c r="A425" s="91"/>
      <c r="B425" s="80">
        <v>45719.0</v>
      </c>
      <c r="C425" s="80">
        <v>45747.0</v>
      </c>
      <c r="D425" s="81">
        <f t="shared" si="11"/>
        <v>0</v>
      </c>
      <c r="E425" s="82" t="s">
        <v>1944</v>
      </c>
      <c r="F425" s="83"/>
      <c r="G425" s="84"/>
      <c r="H425" s="94" t="s">
        <v>1915</v>
      </c>
      <c r="I425" s="86">
        <v>1.0</v>
      </c>
      <c r="J425" s="87" t="s">
        <v>91</v>
      </c>
      <c r="K425" s="88">
        <v>45764.0</v>
      </c>
      <c r="L425" s="86" t="s">
        <v>503</v>
      </c>
      <c r="M425" s="92" t="s">
        <v>2000</v>
      </c>
      <c r="N425" s="89">
        <v>2500232.0</v>
      </c>
      <c r="O425" s="89" t="s">
        <v>1950</v>
      </c>
      <c r="P425" s="89">
        <v>157100.0</v>
      </c>
      <c r="Q425" s="89" t="s">
        <v>171</v>
      </c>
      <c r="R425" s="89" t="s">
        <v>1273</v>
      </c>
      <c r="S425" s="89" t="s">
        <v>1988</v>
      </c>
      <c r="T425" s="90"/>
      <c r="U425" s="89" t="s">
        <v>2001</v>
      </c>
      <c r="V425" s="89" t="s">
        <v>2002</v>
      </c>
      <c r="W425" s="83"/>
      <c r="X425" s="89" t="s">
        <v>47</v>
      </c>
      <c r="Y425" s="89" t="s">
        <v>48</v>
      </c>
      <c r="Z425" s="89" t="s">
        <v>102</v>
      </c>
      <c r="AA425" s="89" t="s">
        <v>72</v>
      </c>
      <c r="AB425" s="89" t="s">
        <v>165</v>
      </c>
      <c r="AC425" s="83"/>
      <c r="AD425" s="83"/>
      <c r="AE425" s="83"/>
      <c r="AF425" s="83"/>
      <c r="AG425" s="83"/>
      <c r="AH425" s="93" t="s">
        <v>1896</v>
      </c>
      <c r="AI425" s="91"/>
      <c r="AJ425" s="91"/>
      <c r="AK425" s="91"/>
    </row>
    <row r="426" hidden="1">
      <c r="A426" s="79"/>
      <c r="B426" s="80">
        <v>45716.0</v>
      </c>
      <c r="C426" s="80">
        <v>45751.0</v>
      </c>
      <c r="D426" s="81">
        <f t="shared" si="11"/>
        <v>0</v>
      </c>
      <c r="E426" s="82" t="s">
        <v>1944</v>
      </c>
      <c r="F426" s="83"/>
      <c r="G426" s="84"/>
      <c r="H426" s="94" t="s">
        <v>1915</v>
      </c>
      <c r="I426" s="86">
        <v>1.0</v>
      </c>
      <c r="J426" s="87" t="s">
        <v>91</v>
      </c>
      <c r="K426" s="88">
        <v>45766.0</v>
      </c>
      <c r="L426" s="86" t="s">
        <v>53</v>
      </c>
      <c r="M426" s="92" t="s">
        <v>1953</v>
      </c>
      <c r="N426" s="89">
        <v>1075303.0</v>
      </c>
      <c r="O426" s="89" t="s">
        <v>2003</v>
      </c>
      <c r="P426" s="89">
        <v>168902.0</v>
      </c>
      <c r="Q426" s="89" t="s">
        <v>160</v>
      </c>
      <c r="R426" s="89" t="s">
        <v>491</v>
      </c>
      <c r="S426" s="89" t="s">
        <v>2004</v>
      </c>
      <c r="T426" s="90"/>
      <c r="U426" s="89" t="s">
        <v>2005</v>
      </c>
      <c r="V426" s="90"/>
      <c r="W426" s="83"/>
      <c r="X426" s="89" t="s">
        <v>47</v>
      </c>
      <c r="Y426" s="89" t="s">
        <v>48</v>
      </c>
      <c r="Z426" s="89" t="s">
        <v>102</v>
      </c>
      <c r="AA426" s="89" t="s">
        <v>72</v>
      </c>
      <c r="AB426" s="89" t="s">
        <v>1824</v>
      </c>
      <c r="AC426" s="83"/>
      <c r="AD426" s="83"/>
      <c r="AE426" s="83"/>
      <c r="AF426" s="83"/>
      <c r="AG426" s="83"/>
      <c r="AH426" s="93" t="s">
        <v>1896</v>
      </c>
      <c r="AI426" s="91"/>
      <c r="AJ426" s="91"/>
      <c r="AK426" s="91"/>
    </row>
    <row r="427" hidden="1">
      <c r="A427" s="79"/>
      <c r="B427" s="80">
        <v>45742.0</v>
      </c>
      <c r="C427" s="80">
        <v>45752.0</v>
      </c>
      <c r="D427" s="81">
        <f t="shared" si="11"/>
        <v>0</v>
      </c>
      <c r="E427" s="89" t="s">
        <v>1944</v>
      </c>
      <c r="F427" s="83"/>
      <c r="G427" s="84"/>
      <c r="H427" s="94" t="s">
        <v>1915</v>
      </c>
      <c r="I427" s="86">
        <v>8.0</v>
      </c>
      <c r="J427" s="87" t="s">
        <v>91</v>
      </c>
      <c r="K427" s="88">
        <v>45759.0</v>
      </c>
      <c r="L427" s="86" t="s">
        <v>555</v>
      </c>
      <c r="M427" s="92" t="s">
        <v>1945</v>
      </c>
      <c r="N427" s="89" t="s">
        <v>2006</v>
      </c>
      <c r="O427" s="89"/>
      <c r="P427" s="89">
        <v>150172.0</v>
      </c>
      <c r="Q427" s="89" t="s">
        <v>477</v>
      </c>
      <c r="R427" s="89" t="s">
        <v>559</v>
      </c>
      <c r="S427" s="89">
        <v>1270.0</v>
      </c>
      <c r="T427" s="90"/>
      <c r="U427" s="89" t="s">
        <v>2007</v>
      </c>
      <c r="V427" s="89">
        <v>3.100073415E9</v>
      </c>
      <c r="W427" s="83"/>
      <c r="X427" s="89" t="s">
        <v>1023</v>
      </c>
      <c r="Y427" s="89" t="s">
        <v>48</v>
      </c>
      <c r="Z427" s="89" t="s">
        <v>102</v>
      </c>
      <c r="AA427" s="89" t="s">
        <v>72</v>
      </c>
      <c r="AB427" s="89" t="s">
        <v>1812</v>
      </c>
      <c r="AC427" s="83"/>
      <c r="AD427" s="83"/>
      <c r="AE427" s="83"/>
      <c r="AF427" s="83"/>
      <c r="AG427" s="83"/>
      <c r="AH427" s="93" t="s">
        <v>1584</v>
      </c>
      <c r="AI427" s="91"/>
      <c r="AJ427" s="91"/>
      <c r="AK427" s="91"/>
    </row>
    <row r="428" hidden="1">
      <c r="A428" s="79"/>
      <c r="B428" s="80">
        <v>45742.0</v>
      </c>
      <c r="C428" s="80">
        <v>45753.0</v>
      </c>
      <c r="D428" s="81">
        <f t="shared" si="11"/>
        <v>0</v>
      </c>
      <c r="E428" s="89" t="s">
        <v>1944</v>
      </c>
      <c r="F428" s="83"/>
      <c r="G428" s="84"/>
      <c r="H428" s="94" t="s">
        <v>1915</v>
      </c>
      <c r="I428" s="86">
        <v>5.0</v>
      </c>
      <c r="J428" s="87" t="s">
        <v>91</v>
      </c>
      <c r="K428" s="88">
        <v>45757.0</v>
      </c>
      <c r="L428" s="86" t="s">
        <v>555</v>
      </c>
      <c r="M428" s="92" t="s">
        <v>1945</v>
      </c>
      <c r="N428" s="89" t="s">
        <v>2008</v>
      </c>
      <c r="O428" s="89"/>
      <c r="P428" s="89">
        <v>153273.0</v>
      </c>
      <c r="Q428" s="89" t="s">
        <v>477</v>
      </c>
      <c r="R428" s="89" t="s">
        <v>559</v>
      </c>
      <c r="S428" s="89">
        <v>1270.0</v>
      </c>
      <c r="T428" s="90"/>
      <c r="U428" s="89" t="s">
        <v>2009</v>
      </c>
      <c r="V428" s="89">
        <v>3.100075187E9</v>
      </c>
      <c r="W428" s="83"/>
      <c r="X428" s="89" t="s">
        <v>1023</v>
      </c>
      <c r="Y428" s="89" t="s">
        <v>48</v>
      </c>
      <c r="Z428" s="89" t="s">
        <v>102</v>
      </c>
      <c r="AA428" s="89" t="s">
        <v>72</v>
      </c>
      <c r="AB428" s="89" t="s">
        <v>1812</v>
      </c>
      <c r="AC428" s="83"/>
      <c r="AD428" s="83"/>
      <c r="AE428" s="83"/>
      <c r="AF428" s="83"/>
      <c r="AG428" s="83"/>
      <c r="AH428" s="93" t="s">
        <v>1584</v>
      </c>
      <c r="AI428" s="91"/>
      <c r="AJ428" s="91"/>
      <c r="AK428" s="91"/>
    </row>
    <row r="429" hidden="1">
      <c r="A429" s="79"/>
      <c r="B429" s="80">
        <v>45723.0</v>
      </c>
      <c r="C429" s="80">
        <v>45753.0</v>
      </c>
      <c r="D429" s="81">
        <f t="shared" si="11"/>
        <v>0</v>
      </c>
      <c r="E429" s="89" t="s">
        <v>1944</v>
      </c>
      <c r="F429" s="83"/>
      <c r="G429" s="84"/>
      <c r="H429" s="94" t="s">
        <v>1915</v>
      </c>
      <c r="I429" s="86">
        <v>1.0</v>
      </c>
      <c r="J429" s="87" t="s">
        <v>91</v>
      </c>
      <c r="K429" s="88">
        <v>45762.0</v>
      </c>
      <c r="L429" s="86" t="s">
        <v>2010</v>
      </c>
      <c r="M429" s="92" t="s">
        <v>2011</v>
      </c>
      <c r="N429" s="89">
        <v>2.025000000541E12</v>
      </c>
      <c r="O429" s="89" t="s">
        <v>2012</v>
      </c>
      <c r="P429" s="89">
        <v>154591.0</v>
      </c>
      <c r="Q429" s="89" t="s">
        <v>2013</v>
      </c>
      <c r="R429" s="89" t="s">
        <v>2014</v>
      </c>
      <c r="S429" s="89">
        <v>8000.0</v>
      </c>
      <c r="T429" s="90"/>
      <c r="U429" s="89" t="s">
        <v>2015</v>
      </c>
      <c r="V429" s="89" t="s">
        <v>2016</v>
      </c>
      <c r="W429" s="83"/>
      <c r="X429" s="89" t="s">
        <v>47</v>
      </c>
      <c r="Y429" s="89" t="s">
        <v>48</v>
      </c>
      <c r="Z429" s="89" t="s">
        <v>102</v>
      </c>
      <c r="AA429" s="89" t="s">
        <v>1860</v>
      </c>
      <c r="AB429" s="89" t="s">
        <v>165</v>
      </c>
      <c r="AC429" s="83"/>
      <c r="AD429" s="83"/>
      <c r="AE429" s="83"/>
      <c r="AF429" s="83"/>
      <c r="AG429" s="83"/>
      <c r="AH429" s="93" t="s">
        <v>1896</v>
      </c>
      <c r="AI429" s="91"/>
      <c r="AJ429" s="91"/>
      <c r="AK429" s="91"/>
    </row>
    <row r="430" hidden="1">
      <c r="A430" s="79"/>
      <c r="B430" s="80">
        <v>45723.0</v>
      </c>
      <c r="C430" s="80">
        <v>45753.0</v>
      </c>
      <c r="D430" s="81">
        <f t="shared" si="11"/>
        <v>0</v>
      </c>
      <c r="E430" s="82" t="s">
        <v>1944</v>
      </c>
      <c r="F430" s="83"/>
      <c r="G430" s="84"/>
      <c r="H430" s="94" t="s">
        <v>1915</v>
      </c>
      <c r="I430" s="86">
        <v>1.0</v>
      </c>
      <c r="J430" s="87" t="s">
        <v>91</v>
      </c>
      <c r="K430" s="88">
        <v>45761.0</v>
      </c>
      <c r="L430" s="86" t="s">
        <v>2010</v>
      </c>
      <c r="M430" s="92" t="s">
        <v>2011</v>
      </c>
      <c r="N430" s="89">
        <v>2.025000000542E12</v>
      </c>
      <c r="O430" s="89" t="s">
        <v>2017</v>
      </c>
      <c r="P430" s="89">
        <v>155392.0</v>
      </c>
      <c r="Q430" s="89" t="s">
        <v>2013</v>
      </c>
      <c r="R430" s="89" t="s">
        <v>2014</v>
      </c>
      <c r="S430" s="89">
        <v>8000.0</v>
      </c>
      <c r="T430" s="90"/>
      <c r="U430" s="89" t="s">
        <v>2018</v>
      </c>
      <c r="V430" s="89" t="s">
        <v>2019</v>
      </c>
      <c r="W430" s="83"/>
      <c r="X430" s="89" t="s">
        <v>47</v>
      </c>
      <c r="Y430" s="89" t="s">
        <v>48</v>
      </c>
      <c r="Z430" s="89" t="s">
        <v>102</v>
      </c>
      <c r="AA430" s="89" t="s">
        <v>1860</v>
      </c>
      <c r="AB430" s="89" t="s">
        <v>165</v>
      </c>
      <c r="AC430" s="83"/>
      <c r="AD430" s="83"/>
      <c r="AE430" s="83"/>
      <c r="AF430" s="83"/>
      <c r="AG430" s="83"/>
      <c r="AH430" s="93" t="s">
        <v>1896</v>
      </c>
      <c r="AI430" s="91"/>
      <c r="AJ430" s="91"/>
      <c r="AK430" s="91"/>
    </row>
    <row r="431" hidden="1">
      <c r="A431" s="79"/>
      <c r="B431" s="80">
        <v>45723.0</v>
      </c>
      <c r="C431" s="80">
        <v>45753.0</v>
      </c>
      <c r="D431" s="81">
        <f t="shared" si="11"/>
        <v>0</v>
      </c>
      <c r="E431" s="82" t="s">
        <v>1944</v>
      </c>
      <c r="F431" s="83"/>
      <c r="G431" s="84"/>
      <c r="H431" s="94" t="s">
        <v>1915</v>
      </c>
      <c r="I431" s="86">
        <v>1.0</v>
      </c>
      <c r="J431" s="87" t="s">
        <v>91</v>
      </c>
      <c r="K431" s="88">
        <v>45764.0</v>
      </c>
      <c r="L431" s="86" t="s">
        <v>2010</v>
      </c>
      <c r="M431" s="92" t="s">
        <v>2020</v>
      </c>
      <c r="N431" s="89">
        <v>2.025000000543E12</v>
      </c>
      <c r="O431" s="89" t="s">
        <v>2021</v>
      </c>
      <c r="P431" s="89">
        <v>155856.0</v>
      </c>
      <c r="Q431" s="89" t="s">
        <v>2013</v>
      </c>
      <c r="R431" s="89" t="s">
        <v>2014</v>
      </c>
      <c r="S431" s="89">
        <v>8000.0</v>
      </c>
      <c r="T431" s="90"/>
      <c r="U431" s="89" t="s">
        <v>2022</v>
      </c>
      <c r="V431" s="89" t="s">
        <v>2023</v>
      </c>
      <c r="W431" s="83"/>
      <c r="X431" s="89" t="s">
        <v>47</v>
      </c>
      <c r="Y431" s="89" t="s">
        <v>48</v>
      </c>
      <c r="Z431" s="89" t="s">
        <v>102</v>
      </c>
      <c r="AA431" s="89" t="s">
        <v>1860</v>
      </c>
      <c r="AB431" s="89" t="s">
        <v>165</v>
      </c>
      <c r="AC431" s="83"/>
      <c r="AD431" s="83"/>
      <c r="AE431" s="83"/>
      <c r="AF431" s="83"/>
      <c r="AG431" s="83"/>
      <c r="AH431" s="93" t="s">
        <v>1896</v>
      </c>
      <c r="AI431" s="91"/>
      <c r="AJ431" s="91"/>
      <c r="AK431" s="91"/>
    </row>
    <row r="432" hidden="1">
      <c r="A432" s="91"/>
      <c r="B432" s="80">
        <v>45733.0</v>
      </c>
      <c r="C432" s="80">
        <v>45755.0</v>
      </c>
      <c r="D432" s="81">
        <f t="shared" si="11"/>
        <v>0</v>
      </c>
      <c r="E432" s="82" t="s">
        <v>1944</v>
      </c>
      <c r="F432" s="83"/>
      <c r="G432" s="84"/>
      <c r="H432" s="94" t="s">
        <v>1915</v>
      </c>
      <c r="I432" s="86">
        <v>1.0</v>
      </c>
      <c r="J432" s="87" t="s">
        <v>91</v>
      </c>
      <c r="K432" s="88">
        <v>45761.0</v>
      </c>
      <c r="L432" s="86" t="s">
        <v>2024</v>
      </c>
      <c r="M432" s="92" t="s">
        <v>2025</v>
      </c>
      <c r="N432" s="89">
        <v>2.300000087E9</v>
      </c>
      <c r="O432" s="89" t="s">
        <v>2026</v>
      </c>
      <c r="P432" s="89">
        <v>159516.0</v>
      </c>
      <c r="Q432" s="89" t="s">
        <v>80</v>
      </c>
      <c r="R432" s="89" t="s">
        <v>2027</v>
      </c>
      <c r="S432" s="89">
        <v>675.0</v>
      </c>
      <c r="T432" s="90"/>
      <c r="U432" s="89" t="s">
        <v>2028</v>
      </c>
      <c r="V432" s="89" t="s">
        <v>2029</v>
      </c>
      <c r="W432" s="83"/>
      <c r="X432" s="89" t="s">
        <v>1023</v>
      </c>
      <c r="Y432" s="89" t="s">
        <v>48</v>
      </c>
      <c r="Z432" s="89" t="s">
        <v>49</v>
      </c>
      <c r="AA432" s="89" t="s">
        <v>72</v>
      </c>
      <c r="AB432" s="89" t="s">
        <v>2030</v>
      </c>
      <c r="AC432" s="83"/>
      <c r="AD432" s="83"/>
      <c r="AE432" s="83"/>
      <c r="AF432" s="83"/>
      <c r="AG432" s="83"/>
      <c r="AH432" s="93" t="s">
        <v>1896</v>
      </c>
      <c r="AI432" s="91"/>
      <c r="AJ432" s="91"/>
      <c r="AK432" s="91"/>
    </row>
    <row r="433" hidden="1">
      <c r="A433" s="79"/>
      <c r="B433" s="80">
        <v>45746.0</v>
      </c>
      <c r="C433" s="80">
        <v>45756.0</v>
      </c>
      <c r="D433" s="81">
        <f t="shared" si="11"/>
        <v>0</v>
      </c>
      <c r="E433" s="82" t="s">
        <v>1944</v>
      </c>
      <c r="F433" s="83"/>
      <c r="G433" s="84"/>
      <c r="H433" s="94" t="s">
        <v>1915</v>
      </c>
      <c r="I433" s="86">
        <v>3.0</v>
      </c>
      <c r="J433" s="87" t="s">
        <v>91</v>
      </c>
      <c r="K433" s="88">
        <v>45763.0</v>
      </c>
      <c r="L433" s="86" t="s">
        <v>555</v>
      </c>
      <c r="M433" s="92" t="s">
        <v>1945</v>
      </c>
      <c r="N433" s="89" t="s">
        <v>2031</v>
      </c>
      <c r="O433" s="90"/>
      <c r="P433" s="89">
        <v>164719.0</v>
      </c>
      <c r="Q433" s="89" t="s">
        <v>477</v>
      </c>
      <c r="R433" s="89" t="s">
        <v>559</v>
      </c>
      <c r="S433" s="89">
        <v>1270.0</v>
      </c>
      <c r="T433" s="90"/>
      <c r="U433" s="89" t="s">
        <v>2032</v>
      </c>
      <c r="V433" s="89">
        <v>3.100075289E9</v>
      </c>
      <c r="W433" s="83"/>
      <c r="X433" s="89" t="s">
        <v>1023</v>
      </c>
      <c r="Y433" s="89" t="s">
        <v>48</v>
      </c>
      <c r="Z433" s="89" t="s">
        <v>102</v>
      </c>
      <c r="AA433" s="89" t="s">
        <v>72</v>
      </c>
      <c r="AB433" s="89" t="s">
        <v>1812</v>
      </c>
      <c r="AC433" s="83"/>
      <c r="AD433" s="83"/>
      <c r="AE433" s="83"/>
      <c r="AF433" s="83"/>
      <c r="AG433" s="83"/>
      <c r="AH433" s="93" t="s">
        <v>1896</v>
      </c>
      <c r="AI433" s="91"/>
      <c r="AJ433" s="91"/>
      <c r="AK433" s="91"/>
    </row>
    <row r="434" hidden="1">
      <c r="A434" s="79"/>
      <c r="B434" s="80">
        <v>45746.0</v>
      </c>
      <c r="C434" s="80">
        <v>45756.0</v>
      </c>
      <c r="D434" s="81">
        <f t="shared" si="11"/>
        <v>0</v>
      </c>
      <c r="E434" s="82" t="s">
        <v>1944</v>
      </c>
      <c r="F434" s="83"/>
      <c r="G434" s="84"/>
      <c r="H434" s="94" t="s">
        <v>1915</v>
      </c>
      <c r="I434" s="86">
        <v>5.0</v>
      </c>
      <c r="J434" s="87" t="s">
        <v>91</v>
      </c>
      <c r="K434" s="88">
        <v>45768.0</v>
      </c>
      <c r="L434" s="86" t="s">
        <v>555</v>
      </c>
      <c r="M434" s="92" t="s">
        <v>1945</v>
      </c>
      <c r="N434" s="89" t="s">
        <v>2033</v>
      </c>
      <c r="O434" s="89"/>
      <c r="P434" s="89">
        <v>164764.0</v>
      </c>
      <c r="Q434" s="89" t="s">
        <v>477</v>
      </c>
      <c r="R434" s="89" t="s">
        <v>559</v>
      </c>
      <c r="S434" s="89">
        <v>1270.0</v>
      </c>
      <c r="T434" s="90"/>
      <c r="U434" s="89" t="s">
        <v>2034</v>
      </c>
      <c r="V434" s="89">
        <v>3.10007541E9</v>
      </c>
      <c r="W434" s="83"/>
      <c r="X434" s="89" t="s">
        <v>1023</v>
      </c>
      <c r="Y434" s="89" t="s">
        <v>48</v>
      </c>
      <c r="Z434" s="89" t="s">
        <v>102</v>
      </c>
      <c r="AA434" s="89" t="s">
        <v>72</v>
      </c>
      <c r="AB434" s="89" t="s">
        <v>1812</v>
      </c>
      <c r="AC434" s="83"/>
      <c r="AD434" s="83"/>
      <c r="AE434" s="83"/>
      <c r="AF434" s="83"/>
      <c r="AG434" s="83"/>
      <c r="AH434" s="93" t="s">
        <v>1896</v>
      </c>
      <c r="AI434" s="91"/>
      <c r="AJ434" s="91"/>
      <c r="AK434" s="91"/>
    </row>
    <row r="435" hidden="1">
      <c r="A435" s="79"/>
      <c r="B435" s="80">
        <v>45723.0</v>
      </c>
      <c r="C435" s="80">
        <v>45759.0</v>
      </c>
      <c r="D435" s="81">
        <f t="shared" si="11"/>
        <v>0</v>
      </c>
      <c r="E435" s="89" t="s">
        <v>1908</v>
      </c>
      <c r="F435" s="83"/>
      <c r="G435" s="84"/>
      <c r="H435" s="94" t="s">
        <v>1909</v>
      </c>
      <c r="I435" s="86">
        <v>1.0</v>
      </c>
      <c r="J435" s="87" t="s">
        <v>91</v>
      </c>
      <c r="K435" s="88">
        <v>45762.0</v>
      </c>
      <c r="L435" s="86" t="s">
        <v>1478</v>
      </c>
      <c r="M435" s="92" t="s">
        <v>2035</v>
      </c>
      <c r="N435" s="89" t="s">
        <v>2036</v>
      </c>
      <c r="O435" s="89" t="s">
        <v>2037</v>
      </c>
      <c r="P435" s="89">
        <v>65872.0</v>
      </c>
      <c r="Q435" s="89" t="s">
        <v>1970</v>
      </c>
      <c r="R435" s="89" t="s">
        <v>1971</v>
      </c>
      <c r="S435" s="89">
        <v>2900.0</v>
      </c>
      <c r="T435" s="90"/>
      <c r="U435" s="89" t="s">
        <v>2038</v>
      </c>
      <c r="V435" s="89" t="s">
        <v>2039</v>
      </c>
      <c r="W435" s="83"/>
      <c r="X435" s="89" t="s">
        <v>47</v>
      </c>
      <c r="Y435" s="89" t="s">
        <v>48</v>
      </c>
      <c r="Z435" s="89" t="s">
        <v>102</v>
      </c>
      <c r="AA435" s="89" t="s">
        <v>72</v>
      </c>
      <c r="AB435" s="89" t="s">
        <v>1812</v>
      </c>
      <c r="AC435" s="83"/>
      <c r="AD435" s="83"/>
      <c r="AE435" s="83"/>
      <c r="AF435" s="83"/>
      <c r="AG435" s="83"/>
      <c r="AH435" s="93" t="s">
        <v>1896</v>
      </c>
      <c r="AI435" s="91"/>
      <c r="AJ435" s="91"/>
      <c r="AK435" s="91"/>
    </row>
    <row r="436" hidden="1">
      <c r="A436" s="91"/>
      <c r="B436" s="80">
        <v>45740.0</v>
      </c>
      <c r="C436" s="80">
        <v>45760.0</v>
      </c>
      <c r="D436" s="81">
        <f t="shared" si="11"/>
        <v>0</v>
      </c>
      <c r="E436" s="82" t="s">
        <v>1944</v>
      </c>
      <c r="F436" s="83"/>
      <c r="G436" s="84"/>
      <c r="H436" s="94" t="s">
        <v>1915</v>
      </c>
      <c r="I436" s="86">
        <v>1.0</v>
      </c>
      <c r="J436" s="87" t="s">
        <v>91</v>
      </c>
      <c r="K436" s="88">
        <v>45773.0</v>
      </c>
      <c r="L436" s="86" t="s">
        <v>590</v>
      </c>
      <c r="M436" s="92" t="s">
        <v>2040</v>
      </c>
      <c r="N436" s="89">
        <v>9.0006548E7</v>
      </c>
      <c r="O436" s="89" t="s">
        <v>2041</v>
      </c>
      <c r="P436" s="89">
        <v>186150.0</v>
      </c>
      <c r="Q436" s="89" t="s">
        <v>171</v>
      </c>
      <c r="R436" s="89" t="s">
        <v>1273</v>
      </c>
      <c r="S436" s="90"/>
      <c r="T436" s="90"/>
      <c r="U436" s="89" t="s">
        <v>2042</v>
      </c>
      <c r="V436" s="89" t="s">
        <v>2043</v>
      </c>
      <c r="W436" s="83"/>
      <c r="X436" s="89" t="s">
        <v>1023</v>
      </c>
      <c r="Y436" s="89" t="s">
        <v>120</v>
      </c>
      <c r="Z436" s="89" t="s">
        <v>102</v>
      </c>
      <c r="AA436" s="89" t="s">
        <v>72</v>
      </c>
      <c r="AB436" s="89" t="s">
        <v>2030</v>
      </c>
      <c r="AC436" s="83"/>
      <c r="AD436" s="83"/>
      <c r="AE436" s="83"/>
      <c r="AF436" s="83"/>
      <c r="AG436" s="83"/>
      <c r="AH436" s="93" t="s">
        <v>1896</v>
      </c>
      <c r="AI436" s="91"/>
      <c r="AJ436" s="91"/>
      <c r="AK436" s="91"/>
    </row>
    <row r="437" hidden="1">
      <c r="A437" s="91"/>
      <c r="B437" s="80">
        <v>45733.0</v>
      </c>
      <c r="C437" s="80">
        <v>45767.0</v>
      </c>
      <c r="D437" s="81">
        <f t="shared" si="11"/>
        <v>0</v>
      </c>
      <c r="E437" s="89" t="s">
        <v>1908</v>
      </c>
      <c r="F437" s="83"/>
      <c r="G437" s="84"/>
      <c r="H437" s="94" t="s">
        <v>1909</v>
      </c>
      <c r="I437" s="86">
        <v>1.0</v>
      </c>
      <c r="J437" s="95"/>
      <c r="K437" s="88">
        <v>45773.0</v>
      </c>
      <c r="L437" s="86" t="s">
        <v>38</v>
      </c>
      <c r="M437" s="92" t="s">
        <v>2044</v>
      </c>
      <c r="N437" s="89" t="s">
        <v>2045</v>
      </c>
      <c r="O437" s="89" t="s">
        <v>2046</v>
      </c>
      <c r="P437" s="89">
        <v>73792.0</v>
      </c>
      <c r="Q437" s="89" t="s">
        <v>1970</v>
      </c>
      <c r="R437" s="89" t="s">
        <v>1971</v>
      </c>
      <c r="S437" s="89">
        <v>1850.0</v>
      </c>
      <c r="T437" s="90"/>
      <c r="U437" s="89" t="s">
        <v>2047</v>
      </c>
      <c r="V437" s="89" t="s">
        <v>2048</v>
      </c>
      <c r="W437" s="83"/>
      <c r="X437" s="89" t="s">
        <v>47</v>
      </c>
      <c r="Y437" s="89" t="s">
        <v>120</v>
      </c>
      <c r="Z437" s="89" t="s">
        <v>49</v>
      </c>
      <c r="AA437" s="89" t="s">
        <v>72</v>
      </c>
      <c r="AB437" s="89" t="s">
        <v>1812</v>
      </c>
      <c r="AC437" s="83"/>
      <c r="AD437" s="83"/>
      <c r="AE437" s="83"/>
      <c r="AF437" s="83"/>
      <c r="AG437" s="83"/>
      <c r="AH437" s="93" t="s">
        <v>1896</v>
      </c>
      <c r="AI437" s="91"/>
      <c r="AJ437" s="91"/>
      <c r="AK437" s="91"/>
    </row>
    <row r="438" hidden="1">
      <c r="A438" s="79"/>
      <c r="B438" s="80">
        <v>45728.0</v>
      </c>
      <c r="C438" s="80">
        <v>45769.0</v>
      </c>
      <c r="D438" s="81">
        <f t="shared" si="11"/>
        <v>0</v>
      </c>
      <c r="E438" s="82" t="s">
        <v>1944</v>
      </c>
      <c r="F438" s="83"/>
      <c r="G438" s="84"/>
      <c r="H438" s="94" t="s">
        <v>1915</v>
      </c>
      <c r="I438" s="86">
        <v>1.0</v>
      </c>
      <c r="J438" s="87" t="s">
        <v>91</v>
      </c>
      <c r="K438" s="88">
        <v>45778.0</v>
      </c>
      <c r="L438" s="86" t="s">
        <v>503</v>
      </c>
      <c r="M438" s="92" t="s">
        <v>2049</v>
      </c>
      <c r="N438" s="89">
        <v>2.2512398E7</v>
      </c>
      <c r="O438" s="89" t="s">
        <v>1986</v>
      </c>
      <c r="P438" s="89">
        <v>195676.0</v>
      </c>
      <c r="Q438" s="89" t="s">
        <v>148</v>
      </c>
      <c r="R438" s="89" t="s">
        <v>1987</v>
      </c>
      <c r="S438" s="90"/>
      <c r="T438" s="90"/>
      <c r="U438" s="89" t="s">
        <v>2050</v>
      </c>
      <c r="V438" s="89">
        <v>1.0176926E7</v>
      </c>
      <c r="W438" s="83"/>
      <c r="X438" s="89" t="s">
        <v>47</v>
      </c>
      <c r="Y438" s="89" t="s">
        <v>48</v>
      </c>
      <c r="Z438" s="89" t="s">
        <v>102</v>
      </c>
      <c r="AA438" s="89" t="s">
        <v>72</v>
      </c>
      <c r="AB438" s="89" t="s">
        <v>165</v>
      </c>
      <c r="AC438" s="83"/>
      <c r="AD438" s="83"/>
      <c r="AE438" s="83"/>
      <c r="AF438" s="83"/>
      <c r="AG438" s="83"/>
      <c r="AH438" s="93" t="s">
        <v>1896</v>
      </c>
      <c r="AI438" s="91"/>
      <c r="AJ438" s="91"/>
      <c r="AK438" s="91"/>
    </row>
    <row r="439" hidden="1">
      <c r="A439" s="91"/>
      <c r="B439" s="80">
        <v>45747.0</v>
      </c>
      <c r="C439" s="80">
        <v>45772.0</v>
      </c>
      <c r="D439" s="81">
        <f t="shared" si="11"/>
        <v>0</v>
      </c>
      <c r="E439" s="82" t="s">
        <v>1944</v>
      </c>
      <c r="F439" s="83"/>
      <c r="G439" s="84"/>
      <c r="H439" s="94" t="s">
        <v>1915</v>
      </c>
      <c r="I439" s="86">
        <v>1.0</v>
      </c>
      <c r="J439" s="87" t="s">
        <v>2051</v>
      </c>
      <c r="K439" s="88">
        <v>45775.0</v>
      </c>
      <c r="L439" s="86" t="s">
        <v>2024</v>
      </c>
      <c r="M439" s="92" t="s">
        <v>2052</v>
      </c>
      <c r="N439" s="89">
        <v>2.300000139E9</v>
      </c>
      <c r="O439" s="90"/>
      <c r="P439" s="89">
        <v>186155.0</v>
      </c>
      <c r="Q439" s="89" t="s">
        <v>2053</v>
      </c>
      <c r="R439" s="89" t="s">
        <v>2054</v>
      </c>
      <c r="S439" s="89">
        <v>1100.0</v>
      </c>
      <c r="T439" s="90"/>
      <c r="U439" s="89" t="s">
        <v>2055</v>
      </c>
      <c r="V439" s="89" t="s">
        <v>2056</v>
      </c>
      <c r="W439" s="83"/>
      <c r="X439" s="89" t="s">
        <v>1023</v>
      </c>
      <c r="Y439" s="89" t="s">
        <v>48</v>
      </c>
      <c r="Z439" s="89" t="s">
        <v>49</v>
      </c>
      <c r="AA439" s="89" t="s">
        <v>72</v>
      </c>
      <c r="AB439" s="89" t="s">
        <v>1812</v>
      </c>
      <c r="AC439" s="83"/>
      <c r="AD439" s="83"/>
      <c r="AE439" s="83"/>
      <c r="AF439" s="83"/>
      <c r="AG439" s="83"/>
      <c r="AH439" s="93" t="s">
        <v>1896</v>
      </c>
      <c r="AI439" s="91"/>
      <c r="AJ439" s="91"/>
      <c r="AK439" s="91"/>
    </row>
    <row r="440" hidden="1">
      <c r="A440" s="91"/>
      <c r="B440" s="80">
        <v>45756.0</v>
      </c>
      <c r="C440" s="80">
        <v>45772.0</v>
      </c>
      <c r="D440" s="81">
        <f t="shared" si="11"/>
        <v>0</v>
      </c>
      <c r="E440" s="82" t="s">
        <v>1944</v>
      </c>
      <c r="F440" s="83"/>
      <c r="G440" s="84"/>
      <c r="H440" s="94" t="s">
        <v>1915</v>
      </c>
      <c r="I440" s="86">
        <v>2.0</v>
      </c>
      <c r="J440" s="87" t="s">
        <v>2051</v>
      </c>
      <c r="K440" s="88">
        <v>45776.0</v>
      </c>
      <c r="L440" s="86" t="s">
        <v>2024</v>
      </c>
      <c r="M440" s="92" t="s">
        <v>2052</v>
      </c>
      <c r="N440" s="89" t="s">
        <v>2057</v>
      </c>
      <c r="O440" s="90"/>
      <c r="P440" s="83"/>
      <c r="Q440" s="89" t="s">
        <v>2053</v>
      </c>
      <c r="R440" s="89" t="s">
        <v>2054</v>
      </c>
      <c r="S440" s="89">
        <v>1100.0</v>
      </c>
      <c r="T440" s="90"/>
      <c r="U440" s="89" t="s">
        <v>2058</v>
      </c>
      <c r="V440" s="89" t="s">
        <v>2059</v>
      </c>
      <c r="W440" s="83"/>
      <c r="X440" s="89" t="s">
        <v>1023</v>
      </c>
      <c r="Y440" s="89" t="s">
        <v>48</v>
      </c>
      <c r="Z440" s="89" t="s">
        <v>49</v>
      </c>
      <c r="AA440" s="89" t="s">
        <v>72</v>
      </c>
      <c r="AB440" s="89" t="s">
        <v>1812</v>
      </c>
      <c r="AC440" s="83"/>
      <c r="AD440" s="83"/>
      <c r="AE440" s="83"/>
      <c r="AF440" s="83"/>
      <c r="AG440" s="83"/>
      <c r="AH440" s="93" t="s">
        <v>1896</v>
      </c>
      <c r="AI440" s="91"/>
      <c r="AJ440" s="91"/>
      <c r="AK440" s="91"/>
    </row>
    <row r="441" hidden="1">
      <c r="A441" s="91"/>
      <c r="B441" s="80">
        <v>45763.0</v>
      </c>
      <c r="C441" s="80">
        <v>45773.0</v>
      </c>
      <c r="D441" s="81">
        <f t="shared" si="11"/>
        <v>0</v>
      </c>
      <c r="E441" s="82" t="s">
        <v>1944</v>
      </c>
      <c r="F441" s="83"/>
      <c r="G441" s="84"/>
      <c r="H441" s="94" t="s">
        <v>1915</v>
      </c>
      <c r="I441" s="86">
        <v>5.0</v>
      </c>
      <c r="J441" s="87" t="s">
        <v>2051</v>
      </c>
      <c r="K441" s="88">
        <v>45780.0</v>
      </c>
      <c r="L441" s="86" t="s">
        <v>2024</v>
      </c>
      <c r="M441" s="92" t="s">
        <v>2060</v>
      </c>
      <c r="N441" s="89" t="s">
        <v>2061</v>
      </c>
      <c r="O441" s="90"/>
      <c r="P441" s="89">
        <v>203968.0</v>
      </c>
      <c r="Q441" s="89" t="s">
        <v>477</v>
      </c>
      <c r="R441" s="89" t="s">
        <v>559</v>
      </c>
      <c r="S441" s="89">
        <v>1170.0</v>
      </c>
      <c r="T441" s="90"/>
      <c r="U441" s="89" t="s">
        <v>2062</v>
      </c>
      <c r="V441" s="89">
        <v>3.100077052E9</v>
      </c>
      <c r="W441" s="83"/>
      <c r="X441" s="89" t="s">
        <v>47</v>
      </c>
      <c r="Y441" s="89" t="s">
        <v>48</v>
      </c>
      <c r="Z441" s="89" t="s">
        <v>102</v>
      </c>
      <c r="AA441" s="89" t="s">
        <v>72</v>
      </c>
      <c r="AB441" s="89" t="s">
        <v>1812</v>
      </c>
      <c r="AC441" s="83"/>
      <c r="AD441" s="83"/>
      <c r="AE441" s="83"/>
      <c r="AF441" s="83"/>
      <c r="AG441" s="83"/>
      <c r="AH441" s="93" t="s">
        <v>1896</v>
      </c>
      <c r="AI441" s="91"/>
      <c r="AJ441" s="91"/>
      <c r="AK441" s="91"/>
    </row>
    <row r="442" hidden="1">
      <c r="A442" s="91"/>
      <c r="B442" s="80">
        <v>45763.0</v>
      </c>
      <c r="C442" s="80">
        <v>45773.0</v>
      </c>
      <c r="D442" s="81">
        <f t="shared" si="11"/>
        <v>0</v>
      </c>
      <c r="E442" s="82" t="s">
        <v>1944</v>
      </c>
      <c r="F442" s="83"/>
      <c r="G442" s="84"/>
      <c r="H442" s="94" t="s">
        <v>1915</v>
      </c>
      <c r="I442" s="86">
        <v>5.0</v>
      </c>
      <c r="J442" s="87" t="s">
        <v>2051</v>
      </c>
      <c r="K442" s="88">
        <v>45788.0</v>
      </c>
      <c r="L442" s="86" t="s">
        <v>2024</v>
      </c>
      <c r="M442" s="92" t="s">
        <v>2060</v>
      </c>
      <c r="N442" s="89" t="s">
        <v>2063</v>
      </c>
      <c r="O442" s="90"/>
      <c r="P442" s="89">
        <v>202983.0</v>
      </c>
      <c r="Q442" s="89" t="s">
        <v>477</v>
      </c>
      <c r="R442" s="89" t="s">
        <v>559</v>
      </c>
      <c r="S442" s="89">
        <v>1170.0</v>
      </c>
      <c r="T442" s="90"/>
      <c r="U442" s="89" t="s">
        <v>2064</v>
      </c>
      <c r="V442" s="89">
        <v>3.100077053E9</v>
      </c>
      <c r="W442" s="83"/>
      <c r="X442" s="89" t="s">
        <v>47</v>
      </c>
      <c r="Y442" s="89" t="s">
        <v>48</v>
      </c>
      <c r="Z442" s="89" t="s">
        <v>102</v>
      </c>
      <c r="AA442" s="89" t="s">
        <v>72</v>
      </c>
      <c r="AB442" s="89" t="s">
        <v>1812</v>
      </c>
      <c r="AC442" s="83"/>
      <c r="AD442" s="83"/>
      <c r="AE442" s="83"/>
      <c r="AF442" s="83"/>
      <c r="AG442" s="83"/>
      <c r="AH442" s="93" t="s">
        <v>1896</v>
      </c>
      <c r="AI442" s="91"/>
      <c r="AJ442" s="91"/>
      <c r="AK442" s="91"/>
    </row>
    <row r="443" hidden="1">
      <c r="A443" s="91"/>
      <c r="B443" s="80">
        <v>45765.0</v>
      </c>
      <c r="C443" s="80">
        <v>45773.0</v>
      </c>
      <c r="D443" s="81">
        <f t="shared" si="11"/>
        <v>0</v>
      </c>
      <c r="E443" s="82" t="s">
        <v>1944</v>
      </c>
      <c r="F443" s="83"/>
      <c r="G443" s="84"/>
      <c r="H443" s="94" t="s">
        <v>1915</v>
      </c>
      <c r="I443" s="86">
        <v>4.0</v>
      </c>
      <c r="J443" s="87" t="s">
        <v>2051</v>
      </c>
      <c r="K443" s="88">
        <v>45787.0</v>
      </c>
      <c r="L443" s="86" t="s">
        <v>2024</v>
      </c>
      <c r="M443" s="92" t="s">
        <v>2060</v>
      </c>
      <c r="N443" s="89" t="s">
        <v>2065</v>
      </c>
      <c r="O443" s="90"/>
      <c r="P443" s="89">
        <v>203248.0</v>
      </c>
      <c r="Q443" s="89" t="s">
        <v>477</v>
      </c>
      <c r="R443" s="89" t="s">
        <v>559</v>
      </c>
      <c r="S443" s="89">
        <v>1170.0</v>
      </c>
      <c r="T443" s="90"/>
      <c r="U443" s="89" t="s">
        <v>2066</v>
      </c>
      <c r="V443" s="89">
        <v>3.100081109E9</v>
      </c>
      <c r="W443" s="83"/>
      <c r="X443" s="89" t="s">
        <v>47</v>
      </c>
      <c r="Y443" s="89" t="s">
        <v>48</v>
      </c>
      <c r="Z443" s="89" t="s">
        <v>102</v>
      </c>
      <c r="AA443" s="89" t="s">
        <v>72</v>
      </c>
      <c r="AB443" s="89" t="s">
        <v>1812</v>
      </c>
      <c r="AC443" s="83"/>
      <c r="AD443" s="83"/>
      <c r="AE443" s="83"/>
      <c r="AF443" s="83"/>
      <c r="AG443" s="83"/>
      <c r="AH443" s="93" t="s">
        <v>1896</v>
      </c>
      <c r="AI443" s="91"/>
      <c r="AJ443" s="91"/>
      <c r="AK443" s="91"/>
    </row>
    <row r="444" hidden="1">
      <c r="A444" s="91"/>
      <c r="B444" s="80">
        <v>45766.0</v>
      </c>
      <c r="C444" s="80">
        <v>45775.0</v>
      </c>
      <c r="D444" s="81">
        <f t="shared" si="11"/>
        <v>0</v>
      </c>
      <c r="E444" s="82" t="s">
        <v>1944</v>
      </c>
      <c r="F444" s="83"/>
      <c r="G444" s="84"/>
      <c r="H444" s="94" t="s">
        <v>1915</v>
      </c>
      <c r="I444" s="86">
        <v>2.0</v>
      </c>
      <c r="J444" s="95"/>
      <c r="K444" s="88">
        <v>45778.0</v>
      </c>
      <c r="L444" s="86" t="s">
        <v>2067</v>
      </c>
      <c r="M444" s="92"/>
      <c r="N444" s="89" t="s">
        <v>2068</v>
      </c>
      <c r="O444" s="89" t="s">
        <v>2069</v>
      </c>
      <c r="P444" s="89">
        <v>202731.0</v>
      </c>
      <c r="Q444" s="89" t="s">
        <v>2053</v>
      </c>
      <c r="R444" s="89" t="s">
        <v>1608</v>
      </c>
      <c r="S444" s="90"/>
      <c r="T444" s="90"/>
      <c r="U444" s="89" t="s">
        <v>2070</v>
      </c>
      <c r="V444" s="89" t="s">
        <v>2071</v>
      </c>
      <c r="W444" s="83"/>
      <c r="X444" s="89" t="s">
        <v>1023</v>
      </c>
      <c r="Y444" s="89" t="s">
        <v>48</v>
      </c>
      <c r="Z444" s="89" t="s">
        <v>49</v>
      </c>
      <c r="AA444" s="89" t="s">
        <v>970</v>
      </c>
      <c r="AB444" s="89" t="s">
        <v>1812</v>
      </c>
      <c r="AC444" s="83"/>
      <c r="AD444" s="83"/>
      <c r="AE444" s="83"/>
      <c r="AF444" s="83"/>
      <c r="AG444" s="83"/>
      <c r="AH444" s="93" t="s">
        <v>1896</v>
      </c>
      <c r="AI444" s="91"/>
      <c r="AJ444" s="91"/>
      <c r="AK444" s="91"/>
    </row>
    <row r="445" hidden="1">
      <c r="A445" s="91"/>
      <c r="B445" s="80">
        <v>45766.0</v>
      </c>
      <c r="C445" s="80">
        <v>45775.0</v>
      </c>
      <c r="D445" s="81">
        <f t="shared" si="11"/>
        <v>0</v>
      </c>
      <c r="E445" s="82" t="s">
        <v>1944</v>
      </c>
      <c r="F445" s="83"/>
      <c r="G445" s="84"/>
      <c r="H445" s="94" t="s">
        <v>1915</v>
      </c>
      <c r="I445" s="86">
        <v>5.0</v>
      </c>
      <c r="J445" s="87" t="s">
        <v>2072</v>
      </c>
      <c r="K445" s="88">
        <v>45777.0</v>
      </c>
      <c r="L445" s="86" t="s">
        <v>2073</v>
      </c>
      <c r="M445" s="92" t="s">
        <v>2074</v>
      </c>
      <c r="N445" s="89" t="s">
        <v>2075</v>
      </c>
      <c r="O445" s="89" t="s">
        <v>704</v>
      </c>
      <c r="P445" s="89">
        <v>200352.0</v>
      </c>
      <c r="Q445" s="89" t="s">
        <v>2053</v>
      </c>
      <c r="R445" s="89" t="s">
        <v>1809</v>
      </c>
      <c r="S445" s="89">
        <v>1390.0</v>
      </c>
      <c r="T445" s="90"/>
      <c r="U445" s="89" t="s">
        <v>2076</v>
      </c>
      <c r="V445" s="90"/>
      <c r="W445" s="83"/>
      <c r="X445" s="89" t="s">
        <v>1023</v>
      </c>
      <c r="Y445" s="89" t="s">
        <v>48</v>
      </c>
      <c r="Z445" s="89" t="s">
        <v>102</v>
      </c>
      <c r="AA445" s="89" t="s">
        <v>72</v>
      </c>
      <c r="AB445" s="89" t="s">
        <v>1187</v>
      </c>
      <c r="AC445" s="83"/>
      <c r="AD445" s="83"/>
      <c r="AE445" s="83"/>
      <c r="AF445" s="83"/>
      <c r="AG445" s="83"/>
      <c r="AH445" s="93" t="s">
        <v>1896</v>
      </c>
      <c r="AI445" s="91"/>
      <c r="AJ445" s="91"/>
      <c r="AK445" s="91"/>
    </row>
    <row r="446" hidden="1">
      <c r="A446" s="79"/>
      <c r="B446" s="80">
        <v>45748.0</v>
      </c>
      <c r="C446" s="80">
        <v>45777.0</v>
      </c>
      <c r="D446" s="81">
        <f t="shared" si="11"/>
        <v>0</v>
      </c>
      <c r="E446" s="89" t="s">
        <v>1908</v>
      </c>
      <c r="F446" s="83"/>
      <c r="G446" s="84"/>
      <c r="H446" s="94" t="s">
        <v>1909</v>
      </c>
      <c r="I446" s="86">
        <v>4.0</v>
      </c>
      <c r="J446" s="87" t="s">
        <v>1420</v>
      </c>
      <c r="K446" s="88">
        <v>45792.0</v>
      </c>
      <c r="L446" s="86" t="s">
        <v>2077</v>
      </c>
      <c r="M446" s="92" t="s">
        <v>2078</v>
      </c>
      <c r="N446" s="89">
        <v>2.500001249E9</v>
      </c>
      <c r="O446" s="89" t="s">
        <v>2079</v>
      </c>
      <c r="P446" s="89">
        <v>86580.0</v>
      </c>
      <c r="Q446" s="89" t="s">
        <v>1970</v>
      </c>
      <c r="R446" s="89" t="s">
        <v>334</v>
      </c>
      <c r="S446" s="89" t="s">
        <v>2080</v>
      </c>
      <c r="T446" s="90"/>
      <c r="U446" s="89" t="s">
        <v>2081</v>
      </c>
      <c r="V446" s="89" t="s">
        <v>2082</v>
      </c>
      <c r="W446" s="83"/>
      <c r="X446" s="89" t="s">
        <v>47</v>
      </c>
      <c r="Y446" s="89" t="s">
        <v>2083</v>
      </c>
      <c r="Z446" s="89" t="s">
        <v>49</v>
      </c>
      <c r="AA446" s="89" t="s">
        <v>1860</v>
      </c>
      <c r="AB446" s="90"/>
      <c r="AC446" s="83"/>
      <c r="AD446" s="83"/>
      <c r="AE446" s="83"/>
      <c r="AF446" s="83"/>
      <c r="AG446" s="83"/>
      <c r="AH446" s="93" t="s">
        <v>1896</v>
      </c>
      <c r="AI446" s="91"/>
      <c r="AJ446" s="91"/>
      <c r="AK446" s="91"/>
    </row>
    <row r="447" hidden="1">
      <c r="A447" s="79"/>
      <c r="B447" s="80">
        <v>45739.0</v>
      </c>
      <c r="C447" s="80">
        <v>45778.0</v>
      </c>
      <c r="D447" s="81">
        <f t="shared" si="11"/>
        <v>0</v>
      </c>
      <c r="E447" s="89" t="s">
        <v>1908</v>
      </c>
      <c r="F447" s="83"/>
      <c r="G447" s="84"/>
      <c r="H447" s="94" t="s">
        <v>1909</v>
      </c>
      <c r="I447" s="86">
        <v>1.0</v>
      </c>
      <c r="J447" s="95"/>
      <c r="K447" s="88">
        <v>45789.0</v>
      </c>
      <c r="L447" s="86" t="s">
        <v>38</v>
      </c>
      <c r="M447" s="92" t="s">
        <v>2084</v>
      </c>
      <c r="N447" s="89" t="s">
        <v>2085</v>
      </c>
      <c r="O447" s="89" t="s">
        <v>2086</v>
      </c>
      <c r="P447" s="89">
        <v>89962.0</v>
      </c>
      <c r="Q447" s="89" t="s">
        <v>1970</v>
      </c>
      <c r="R447" s="89" t="s">
        <v>334</v>
      </c>
      <c r="S447" s="89">
        <v>1575.0</v>
      </c>
      <c r="T447" s="90"/>
      <c r="U447" s="89" t="s">
        <v>2087</v>
      </c>
      <c r="V447" s="90"/>
      <c r="W447" s="83"/>
      <c r="X447" s="89" t="s">
        <v>47</v>
      </c>
      <c r="Y447" s="89" t="s">
        <v>48</v>
      </c>
      <c r="Z447" s="89" t="s">
        <v>49</v>
      </c>
      <c r="AA447" s="89" t="s">
        <v>72</v>
      </c>
      <c r="AB447" s="90"/>
      <c r="AC447" s="83"/>
      <c r="AD447" s="83"/>
      <c r="AE447" s="83"/>
      <c r="AF447" s="83"/>
      <c r="AG447" s="83"/>
      <c r="AH447" s="93" t="s">
        <v>1896</v>
      </c>
      <c r="AI447" s="91"/>
      <c r="AJ447" s="91"/>
      <c r="AK447" s="91"/>
    </row>
    <row r="448" hidden="1">
      <c r="A448" s="79"/>
      <c r="B448" s="80">
        <v>45730.0</v>
      </c>
      <c r="C448" s="80">
        <v>45779.0</v>
      </c>
      <c r="D448" s="81">
        <f t="shared" si="11"/>
        <v>0</v>
      </c>
      <c r="E448" s="82" t="s">
        <v>1308</v>
      </c>
      <c r="F448" s="83"/>
      <c r="G448" s="84"/>
      <c r="H448" s="97" t="s">
        <v>1165</v>
      </c>
      <c r="I448" s="86">
        <v>2.0</v>
      </c>
      <c r="J448" s="87" t="s">
        <v>91</v>
      </c>
      <c r="K448" s="88">
        <v>45792.0</v>
      </c>
      <c r="L448" s="86" t="s">
        <v>1890</v>
      </c>
      <c r="M448" s="92" t="s">
        <v>2088</v>
      </c>
      <c r="N448" s="89" t="s">
        <v>2089</v>
      </c>
      <c r="O448" s="89" t="s">
        <v>1893</v>
      </c>
      <c r="P448" s="89">
        <v>86547.0</v>
      </c>
      <c r="Q448" s="89" t="s">
        <v>42</v>
      </c>
      <c r="R448" s="89" t="s">
        <v>105</v>
      </c>
      <c r="S448" s="90"/>
      <c r="T448" s="90"/>
      <c r="U448" s="89"/>
      <c r="V448" s="89"/>
      <c r="W448" s="83"/>
      <c r="X448" s="89" t="s">
        <v>47</v>
      </c>
      <c r="Y448" s="89" t="s">
        <v>48</v>
      </c>
      <c r="Z448" s="89" t="s">
        <v>49</v>
      </c>
      <c r="AA448" s="89" t="s">
        <v>1860</v>
      </c>
      <c r="AB448" s="89" t="s">
        <v>1671</v>
      </c>
      <c r="AC448" s="83"/>
      <c r="AD448" s="83"/>
      <c r="AE448" s="83"/>
      <c r="AF448" s="83"/>
      <c r="AG448" s="83"/>
      <c r="AH448" s="93" t="s">
        <v>1896</v>
      </c>
      <c r="AI448" s="91"/>
      <c r="AJ448" s="91"/>
      <c r="AK448" s="91"/>
    </row>
    <row r="449" hidden="1">
      <c r="A449" s="91"/>
      <c r="B449" s="80">
        <v>45740.0</v>
      </c>
      <c r="C449" s="80">
        <v>45781.0</v>
      </c>
      <c r="D449" s="81">
        <f t="shared" si="11"/>
        <v>0</v>
      </c>
      <c r="E449" s="89" t="s">
        <v>1908</v>
      </c>
      <c r="F449" s="83"/>
      <c r="G449" s="84"/>
      <c r="H449" s="94" t="s">
        <v>1909</v>
      </c>
      <c r="I449" s="86">
        <v>1.0</v>
      </c>
      <c r="J449" s="95"/>
      <c r="K449" s="88">
        <v>45796.0</v>
      </c>
      <c r="L449" s="86" t="s">
        <v>38</v>
      </c>
      <c r="M449" s="92" t="s">
        <v>2090</v>
      </c>
      <c r="N449" s="89" t="s">
        <v>2091</v>
      </c>
      <c r="O449" s="89" t="s">
        <v>2092</v>
      </c>
      <c r="P449" s="89">
        <v>86166.0</v>
      </c>
      <c r="Q449" s="89" t="s">
        <v>1970</v>
      </c>
      <c r="R449" s="89" t="s">
        <v>1971</v>
      </c>
      <c r="S449" s="89">
        <v>2150.0</v>
      </c>
      <c r="T449" s="90"/>
      <c r="U449" s="89" t="s">
        <v>2093</v>
      </c>
      <c r="V449" s="89" t="s">
        <v>2094</v>
      </c>
      <c r="W449" s="83"/>
      <c r="X449" s="89" t="s">
        <v>1023</v>
      </c>
      <c r="Y449" s="89" t="s">
        <v>48</v>
      </c>
      <c r="Z449" s="89" t="s">
        <v>49</v>
      </c>
      <c r="AA449" s="89" t="s">
        <v>72</v>
      </c>
      <c r="AB449" s="89" t="s">
        <v>1812</v>
      </c>
      <c r="AC449" s="83"/>
      <c r="AD449" s="83"/>
      <c r="AE449" s="83"/>
      <c r="AF449" s="83"/>
      <c r="AG449" s="83"/>
      <c r="AH449" s="93" t="s">
        <v>1896</v>
      </c>
      <c r="AI449" s="91"/>
      <c r="AJ449" s="91"/>
      <c r="AK449" s="91"/>
    </row>
    <row r="450" hidden="1">
      <c r="A450" s="79"/>
      <c r="B450" s="80">
        <v>45740.0</v>
      </c>
      <c r="C450" s="80">
        <v>45781.0</v>
      </c>
      <c r="D450" s="81">
        <f t="shared" si="11"/>
        <v>0</v>
      </c>
      <c r="E450" s="89" t="s">
        <v>1908</v>
      </c>
      <c r="F450" s="83"/>
      <c r="G450" s="84"/>
      <c r="H450" s="94" t="s">
        <v>1909</v>
      </c>
      <c r="I450" s="86">
        <v>1.0</v>
      </c>
      <c r="J450" s="95"/>
      <c r="K450" s="88">
        <v>45796.0</v>
      </c>
      <c r="L450" s="86" t="s">
        <v>38</v>
      </c>
      <c r="M450" s="92" t="s">
        <v>1967</v>
      </c>
      <c r="N450" s="89" t="s">
        <v>2095</v>
      </c>
      <c r="O450" s="89" t="s">
        <v>2096</v>
      </c>
      <c r="P450" s="89">
        <v>86124.0</v>
      </c>
      <c r="Q450" s="89" t="s">
        <v>1970</v>
      </c>
      <c r="R450" s="89" t="s">
        <v>1971</v>
      </c>
      <c r="S450" s="89">
        <v>2150.0</v>
      </c>
      <c r="T450" s="90"/>
      <c r="U450" s="89" t="s">
        <v>2097</v>
      </c>
      <c r="V450" s="89" t="s">
        <v>2098</v>
      </c>
      <c r="W450" s="83"/>
      <c r="X450" s="89" t="s">
        <v>47</v>
      </c>
      <c r="Y450" s="89" t="s">
        <v>48</v>
      </c>
      <c r="Z450" s="89" t="s">
        <v>49</v>
      </c>
      <c r="AA450" s="89" t="s">
        <v>72</v>
      </c>
      <c r="AB450" s="90"/>
      <c r="AC450" s="83"/>
      <c r="AD450" s="83"/>
      <c r="AE450" s="83"/>
      <c r="AF450" s="83"/>
      <c r="AG450" s="83"/>
      <c r="AH450" s="93" t="s">
        <v>1896</v>
      </c>
      <c r="AI450" s="91"/>
      <c r="AJ450" s="91"/>
      <c r="AK450" s="91"/>
    </row>
    <row r="451" hidden="1">
      <c r="A451" s="79"/>
      <c r="B451" s="80">
        <v>45747.0</v>
      </c>
      <c r="C451" s="80">
        <v>45781.0</v>
      </c>
      <c r="D451" s="81">
        <f t="shared" si="11"/>
        <v>0</v>
      </c>
      <c r="E451" s="89" t="s">
        <v>1908</v>
      </c>
      <c r="F451" s="83"/>
      <c r="G451" s="84"/>
      <c r="H451" s="94" t="s">
        <v>1909</v>
      </c>
      <c r="I451" s="86">
        <v>1.0</v>
      </c>
      <c r="J451" s="95"/>
      <c r="K451" s="88">
        <v>45797.0</v>
      </c>
      <c r="L451" s="86" t="s">
        <v>38</v>
      </c>
      <c r="M451" s="92" t="s">
        <v>1967</v>
      </c>
      <c r="N451" s="89" t="s">
        <v>2099</v>
      </c>
      <c r="O451" s="89" t="s">
        <v>2096</v>
      </c>
      <c r="P451" s="89">
        <v>94133.0</v>
      </c>
      <c r="Q451" s="89" t="s">
        <v>1970</v>
      </c>
      <c r="R451" s="89" t="s">
        <v>1971</v>
      </c>
      <c r="S451" s="89">
        <v>2150.0</v>
      </c>
      <c r="T451" s="90"/>
      <c r="U451" s="89" t="s">
        <v>2100</v>
      </c>
      <c r="V451" s="89" t="s">
        <v>2101</v>
      </c>
      <c r="W451" s="83"/>
      <c r="X451" s="89" t="s">
        <v>47</v>
      </c>
      <c r="Y451" s="89" t="s">
        <v>48</v>
      </c>
      <c r="Z451" s="89" t="s">
        <v>49</v>
      </c>
      <c r="AA451" s="89" t="s">
        <v>72</v>
      </c>
      <c r="AB451" s="89" t="s">
        <v>1149</v>
      </c>
      <c r="AC451" s="83"/>
      <c r="AD451" s="83"/>
      <c r="AE451" s="83"/>
      <c r="AF451" s="83"/>
      <c r="AG451" s="83"/>
      <c r="AH451" s="93" t="s">
        <v>1896</v>
      </c>
      <c r="AI451" s="91"/>
      <c r="AJ451" s="91"/>
      <c r="AK451" s="91"/>
    </row>
    <row r="452" hidden="1">
      <c r="A452" s="91"/>
      <c r="B452" s="80">
        <v>45751.0</v>
      </c>
      <c r="C452" s="80">
        <v>45784.0</v>
      </c>
      <c r="D452" s="81">
        <f t="shared" si="11"/>
        <v>0</v>
      </c>
      <c r="E452" s="89" t="s">
        <v>1908</v>
      </c>
      <c r="F452" s="83"/>
      <c r="G452" s="84"/>
      <c r="H452" s="94" t="s">
        <v>1909</v>
      </c>
      <c r="I452" s="86">
        <v>1.0</v>
      </c>
      <c r="J452" s="87" t="s">
        <v>1420</v>
      </c>
      <c r="K452" s="88">
        <v>45798.0</v>
      </c>
      <c r="L452" s="86" t="s">
        <v>503</v>
      </c>
      <c r="M452" s="92" t="s">
        <v>2102</v>
      </c>
      <c r="N452" s="89" t="s">
        <v>2103</v>
      </c>
      <c r="O452" s="89" t="s">
        <v>2104</v>
      </c>
      <c r="P452" s="89">
        <v>91355.0</v>
      </c>
      <c r="Q452" s="89" t="s">
        <v>1846</v>
      </c>
      <c r="R452" s="89" t="s">
        <v>2105</v>
      </c>
      <c r="S452" s="89">
        <v>1900.0</v>
      </c>
      <c r="T452" s="90"/>
      <c r="U452" s="89" t="s">
        <v>2106</v>
      </c>
      <c r="V452" s="89" t="s">
        <v>2107</v>
      </c>
      <c r="W452" s="83"/>
      <c r="X452" s="89" t="s">
        <v>47</v>
      </c>
      <c r="Y452" s="89" t="s">
        <v>48</v>
      </c>
      <c r="Z452" s="89" t="s">
        <v>49</v>
      </c>
      <c r="AA452" s="89" t="s">
        <v>72</v>
      </c>
      <c r="AB452" s="89" t="s">
        <v>1410</v>
      </c>
      <c r="AC452" s="83"/>
      <c r="AD452" s="83"/>
      <c r="AE452" s="83"/>
      <c r="AF452" s="83"/>
      <c r="AG452" s="83"/>
      <c r="AH452" s="93" t="s">
        <v>1896</v>
      </c>
      <c r="AI452" s="91"/>
      <c r="AJ452" s="91"/>
      <c r="AK452" s="91"/>
    </row>
    <row r="453" hidden="1">
      <c r="A453" s="91"/>
      <c r="B453" s="80">
        <v>45757.0</v>
      </c>
      <c r="C453" s="80">
        <v>45786.0</v>
      </c>
      <c r="D453" s="81">
        <f t="shared" si="11"/>
        <v>0</v>
      </c>
      <c r="E453" s="89" t="s">
        <v>1908</v>
      </c>
      <c r="F453" s="83"/>
      <c r="G453" s="84"/>
      <c r="H453" s="94" t="s">
        <v>1909</v>
      </c>
      <c r="I453" s="86">
        <v>1.0</v>
      </c>
      <c r="J453" s="87" t="s">
        <v>1420</v>
      </c>
      <c r="K453" s="88">
        <v>45798.0</v>
      </c>
      <c r="L453" s="86" t="s">
        <v>503</v>
      </c>
      <c r="M453" s="92" t="s">
        <v>2108</v>
      </c>
      <c r="N453" s="89">
        <v>2.2520996E7</v>
      </c>
      <c r="O453" s="89" t="s">
        <v>2109</v>
      </c>
      <c r="P453" s="89">
        <v>98159.0</v>
      </c>
      <c r="Q453" s="89" t="s">
        <v>1846</v>
      </c>
      <c r="R453" s="89" t="s">
        <v>2105</v>
      </c>
      <c r="S453" s="90"/>
      <c r="T453" s="90"/>
      <c r="U453" s="89" t="s">
        <v>2110</v>
      </c>
      <c r="V453" s="89" t="s">
        <v>2111</v>
      </c>
      <c r="W453" s="83"/>
      <c r="X453" s="89" t="s">
        <v>1023</v>
      </c>
      <c r="Y453" s="89" t="s">
        <v>48</v>
      </c>
      <c r="Z453" s="89" t="s">
        <v>49</v>
      </c>
      <c r="AA453" s="89" t="s">
        <v>72</v>
      </c>
      <c r="AB453" s="89" t="s">
        <v>1719</v>
      </c>
      <c r="AC453" s="83"/>
      <c r="AD453" s="83"/>
      <c r="AE453" s="83"/>
      <c r="AF453" s="83"/>
      <c r="AG453" s="83"/>
      <c r="AH453" s="93" t="s">
        <v>1896</v>
      </c>
      <c r="AI453" s="91"/>
      <c r="AJ453" s="91"/>
      <c r="AK453" s="91"/>
    </row>
    <row r="454" hidden="1">
      <c r="A454" s="91"/>
      <c r="B454" s="80">
        <v>45754.0</v>
      </c>
      <c r="C454" s="80">
        <v>45788.0</v>
      </c>
      <c r="D454" s="81">
        <f t="shared" si="11"/>
        <v>0</v>
      </c>
      <c r="E454" s="89" t="s">
        <v>1908</v>
      </c>
      <c r="F454" s="83"/>
      <c r="G454" s="84"/>
      <c r="H454" s="94" t="s">
        <v>1909</v>
      </c>
      <c r="I454" s="86">
        <v>2.0</v>
      </c>
      <c r="J454" s="87" t="s">
        <v>1420</v>
      </c>
      <c r="K454" s="88">
        <v>45803.0</v>
      </c>
      <c r="L454" s="86" t="s">
        <v>38</v>
      </c>
      <c r="M454" s="92" t="s">
        <v>1967</v>
      </c>
      <c r="N454" s="89" t="s">
        <v>2112</v>
      </c>
      <c r="O454" s="89" t="s">
        <v>2113</v>
      </c>
      <c r="P454" s="89">
        <v>90701.0</v>
      </c>
      <c r="Q454" s="89" t="s">
        <v>1970</v>
      </c>
      <c r="R454" s="89" t="s">
        <v>1971</v>
      </c>
      <c r="S454" s="90"/>
      <c r="T454" s="90"/>
      <c r="U454" s="89" t="s">
        <v>2114</v>
      </c>
      <c r="V454" s="89" t="s">
        <v>2115</v>
      </c>
      <c r="W454" s="83"/>
      <c r="X454" s="89" t="s">
        <v>1023</v>
      </c>
      <c r="Y454" s="89" t="s">
        <v>48</v>
      </c>
      <c r="Z454" s="89" t="s">
        <v>49</v>
      </c>
      <c r="AA454" s="89" t="s">
        <v>72</v>
      </c>
      <c r="AB454" s="89" t="s">
        <v>1812</v>
      </c>
      <c r="AC454" s="83"/>
      <c r="AD454" s="83"/>
      <c r="AE454" s="83"/>
      <c r="AF454" s="83"/>
      <c r="AG454" s="83"/>
      <c r="AH454" s="93" t="s">
        <v>1896</v>
      </c>
      <c r="AI454" s="91"/>
      <c r="AJ454" s="91"/>
      <c r="AK454" s="91"/>
    </row>
    <row r="455" hidden="1">
      <c r="A455" s="79"/>
      <c r="B455" s="80">
        <v>45751.0</v>
      </c>
      <c r="C455" s="80">
        <v>45788.0</v>
      </c>
      <c r="D455" s="81">
        <f t="shared" si="11"/>
        <v>0</v>
      </c>
      <c r="E455" s="89" t="s">
        <v>1908</v>
      </c>
      <c r="F455" s="83"/>
      <c r="G455" s="84"/>
      <c r="H455" s="94" t="s">
        <v>1909</v>
      </c>
      <c r="I455" s="86">
        <v>1.0</v>
      </c>
      <c r="J455" s="87" t="s">
        <v>1420</v>
      </c>
      <c r="K455" s="88">
        <v>45801.0</v>
      </c>
      <c r="L455" s="86" t="s">
        <v>38</v>
      </c>
      <c r="M455" s="92" t="s">
        <v>2116</v>
      </c>
      <c r="N455" s="89" t="s">
        <v>2117</v>
      </c>
      <c r="O455" s="90"/>
      <c r="P455" s="89">
        <v>90913.0</v>
      </c>
      <c r="Q455" s="89" t="s">
        <v>42</v>
      </c>
      <c r="R455" s="89" t="s">
        <v>43</v>
      </c>
      <c r="S455" s="90"/>
      <c r="T455" s="90"/>
      <c r="U455" s="89" t="s">
        <v>2118</v>
      </c>
      <c r="V455" s="89" t="s">
        <v>2119</v>
      </c>
      <c r="W455" s="83"/>
      <c r="X455" s="89" t="s">
        <v>47</v>
      </c>
      <c r="Y455" s="89" t="s">
        <v>48</v>
      </c>
      <c r="Z455" s="89" t="s">
        <v>49</v>
      </c>
      <c r="AA455" s="89" t="s">
        <v>1860</v>
      </c>
      <c r="AB455" s="90"/>
      <c r="AC455" s="83"/>
      <c r="AD455" s="83"/>
      <c r="AE455" s="83"/>
      <c r="AF455" s="83"/>
      <c r="AG455" s="83"/>
      <c r="AH455" s="93" t="s">
        <v>1896</v>
      </c>
      <c r="AI455" s="91"/>
      <c r="AJ455" s="91"/>
      <c r="AK455" s="91"/>
    </row>
    <row r="456" hidden="1">
      <c r="A456" s="79"/>
      <c r="B456" s="80">
        <v>45711.0</v>
      </c>
      <c r="C456" s="80">
        <v>45790.0</v>
      </c>
      <c r="D456" s="81">
        <f t="shared" si="11"/>
        <v>0</v>
      </c>
      <c r="E456" s="94" t="s">
        <v>2120</v>
      </c>
      <c r="F456" s="83"/>
      <c r="G456" s="84"/>
      <c r="H456" s="94" t="s">
        <v>1915</v>
      </c>
      <c r="I456" s="86">
        <v>1.0</v>
      </c>
      <c r="J456" s="87" t="s">
        <v>91</v>
      </c>
      <c r="K456" s="88">
        <v>45794.0</v>
      </c>
      <c r="L456" s="86" t="s">
        <v>1831</v>
      </c>
      <c r="M456" s="92" t="s">
        <v>2121</v>
      </c>
      <c r="N456" s="89">
        <v>9.0573641E7</v>
      </c>
      <c r="O456" s="89">
        <v>10537.0</v>
      </c>
      <c r="P456" s="89">
        <v>232917.0</v>
      </c>
      <c r="Q456" s="89" t="s">
        <v>246</v>
      </c>
      <c r="R456" s="89" t="s">
        <v>2122</v>
      </c>
      <c r="S456" s="90"/>
      <c r="T456" s="90"/>
      <c r="U456" s="89" t="s">
        <v>2123</v>
      </c>
      <c r="V456" s="89" t="s">
        <v>2124</v>
      </c>
      <c r="W456" s="83"/>
      <c r="X456" s="89" t="s">
        <v>47</v>
      </c>
      <c r="Y456" s="89" t="s">
        <v>120</v>
      </c>
      <c r="Z456" s="89" t="s">
        <v>102</v>
      </c>
      <c r="AA456" s="89" t="s">
        <v>72</v>
      </c>
      <c r="AB456" s="89" t="s">
        <v>1276</v>
      </c>
      <c r="AC456" s="83"/>
      <c r="AD456" s="83"/>
      <c r="AE456" s="83"/>
      <c r="AF456" s="83"/>
      <c r="AG456" s="83"/>
      <c r="AH456" s="93" t="s">
        <v>1896</v>
      </c>
      <c r="AI456" s="91"/>
      <c r="AJ456" s="91"/>
      <c r="AK456" s="91"/>
    </row>
    <row r="457" hidden="1">
      <c r="A457" s="91"/>
      <c r="B457" s="80">
        <v>45730.0</v>
      </c>
      <c r="C457" s="80">
        <v>45790.0</v>
      </c>
      <c r="D457" s="81">
        <f t="shared" si="11"/>
        <v>0</v>
      </c>
      <c r="E457" s="94" t="s">
        <v>2120</v>
      </c>
      <c r="F457" s="83"/>
      <c r="G457" s="84"/>
      <c r="H457" s="94" t="s">
        <v>1915</v>
      </c>
      <c r="I457" s="86">
        <v>1.0</v>
      </c>
      <c r="J457" s="87" t="s">
        <v>91</v>
      </c>
      <c r="K457" s="88">
        <v>45789.0</v>
      </c>
      <c r="L457" s="86" t="s">
        <v>1831</v>
      </c>
      <c r="M457" s="92" t="s">
        <v>2125</v>
      </c>
      <c r="N457" s="89">
        <v>9.0575917E7</v>
      </c>
      <c r="O457" s="89">
        <v>10538.0</v>
      </c>
      <c r="P457" s="89">
        <v>209970.0</v>
      </c>
      <c r="Q457" s="89" t="s">
        <v>246</v>
      </c>
      <c r="R457" s="89" t="s">
        <v>1482</v>
      </c>
      <c r="S457" s="89">
        <v>4500.0</v>
      </c>
      <c r="T457" s="90"/>
      <c r="U457" s="89" t="s">
        <v>2126</v>
      </c>
      <c r="V457" s="89" t="s">
        <v>2127</v>
      </c>
      <c r="W457" s="83"/>
      <c r="X457" s="89" t="s">
        <v>47</v>
      </c>
      <c r="Y457" s="89" t="s">
        <v>120</v>
      </c>
      <c r="Z457" s="89" t="s">
        <v>102</v>
      </c>
      <c r="AA457" s="89" t="s">
        <v>72</v>
      </c>
      <c r="AB457" s="89" t="s">
        <v>1812</v>
      </c>
      <c r="AC457" s="83"/>
      <c r="AD457" s="83"/>
      <c r="AE457" s="83"/>
      <c r="AF457" s="83"/>
      <c r="AG457" s="83"/>
      <c r="AH457" s="93" t="s">
        <v>1896</v>
      </c>
      <c r="AI457" s="91"/>
      <c r="AJ457" s="91"/>
      <c r="AK457" s="91"/>
    </row>
    <row r="458" hidden="1">
      <c r="A458" s="91"/>
      <c r="B458" s="80">
        <v>45765.0</v>
      </c>
      <c r="C458" s="80">
        <v>45797.0</v>
      </c>
      <c r="D458" s="81">
        <f t="shared" si="11"/>
        <v>0</v>
      </c>
      <c r="E458" s="82" t="s">
        <v>2128</v>
      </c>
      <c r="F458" s="83"/>
      <c r="G458" s="84"/>
      <c r="H458" s="86" t="s">
        <v>1165</v>
      </c>
      <c r="I458" s="86">
        <v>1.0</v>
      </c>
      <c r="J458" s="87" t="s">
        <v>1420</v>
      </c>
      <c r="K458" s="88">
        <v>45809.0</v>
      </c>
      <c r="L458" s="86" t="s">
        <v>168</v>
      </c>
      <c r="M458" s="92" t="s">
        <v>1768</v>
      </c>
      <c r="N458" s="89">
        <v>5250208.0</v>
      </c>
      <c r="O458" s="89" t="s">
        <v>2129</v>
      </c>
      <c r="P458" s="89">
        <v>107429.0</v>
      </c>
      <c r="Q458" s="89" t="s">
        <v>1846</v>
      </c>
      <c r="R458" s="89" t="s">
        <v>1847</v>
      </c>
      <c r="S458" s="89">
        <v>1925.0</v>
      </c>
      <c r="T458" s="90"/>
      <c r="U458" s="89" t="s">
        <v>2130</v>
      </c>
      <c r="V458" s="90"/>
      <c r="W458" s="83"/>
      <c r="X458" s="89" t="s">
        <v>1023</v>
      </c>
      <c r="Y458" s="89" t="s">
        <v>120</v>
      </c>
      <c r="Z458" s="89" t="s">
        <v>49</v>
      </c>
      <c r="AA458" s="89" t="s">
        <v>72</v>
      </c>
      <c r="AB458" s="89" t="s">
        <v>1812</v>
      </c>
      <c r="AC458" s="83"/>
      <c r="AD458" s="83"/>
      <c r="AE458" s="83"/>
      <c r="AF458" s="83"/>
      <c r="AG458" s="83"/>
      <c r="AH458" s="93" t="s">
        <v>1584</v>
      </c>
      <c r="AI458" s="91"/>
      <c r="AJ458" s="91"/>
      <c r="AK458" s="91"/>
    </row>
    <row r="459" hidden="1">
      <c r="A459" s="91"/>
      <c r="B459" s="98">
        <v>45779.0</v>
      </c>
      <c r="C459" s="80">
        <v>45798.0</v>
      </c>
      <c r="D459" s="81">
        <f t="shared" si="11"/>
        <v>0</v>
      </c>
      <c r="E459" s="94" t="s">
        <v>2120</v>
      </c>
      <c r="F459" s="83"/>
      <c r="G459" s="84"/>
      <c r="H459" s="94" t="s">
        <v>1915</v>
      </c>
      <c r="I459" s="86">
        <v>2.0</v>
      </c>
      <c r="J459" s="87" t="s">
        <v>2051</v>
      </c>
      <c r="K459" s="88">
        <v>45804.0</v>
      </c>
      <c r="L459" s="86" t="s">
        <v>2131</v>
      </c>
      <c r="M459" s="92" t="s">
        <v>2132</v>
      </c>
      <c r="N459" s="89" t="s">
        <v>2133</v>
      </c>
      <c r="O459" s="89" t="s">
        <v>2134</v>
      </c>
      <c r="P459" s="89">
        <v>253230.0</v>
      </c>
      <c r="Q459" s="89" t="s">
        <v>148</v>
      </c>
      <c r="R459" s="89" t="s">
        <v>2135</v>
      </c>
      <c r="S459" s="89">
        <v>1750.0</v>
      </c>
      <c r="T459" s="90"/>
      <c r="U459" s="89" t="s">
        <v>2136</v>
      </c>
      <c r="V459" s="90"/>
      <c r="W459" s="83"/>
      <c r="X459" s="89" t="s">
        <v>47</v>
      </c>
      <c r="Y459" s="89" t="s">
        <v>48</v>
      </c>
      <c r="Z459" s="89" t="s">
        <v>102</v>
      </c>
      <c r="AA459" s="89" t="s">
        <v>72</v>
      </c>
      <c r="AB459" s="89" t="s">
        <v>1812</v>
      </c>
      <c r="AC459" s="83"/>
      <c r="AD459" s="83"/>
      <c r="AE459" s="83"/>
      <c r="AF459" s="83"/>
      <c r="AG459" s="83"/>
      <c r="AH459" s="93" t="s">
        <v>1896</v>
      </c>
      <c r="AI459" s="91"/>
      <c r="AJ459" s="91"/>
      <c r="AK459" s="91"/>
    </row>
    <row r="460" hidden="1">
      <c r="A460" s="91"/>
      <c r="B460" s="80">
        <v>45777.0</v>
      </c>
      <c r="C460" s="80">
        <v>45799.0</v>
      </c>
      <c r="D460" s="81">
        <f t="shared" si="11"/>
        <v>0</v>
      </c>
      <c r="E460" s="82" t="s">
        <v>2137</v>
      </c>
      <c r="F460" s="83"/>
      <c r="G460" s="84"/>
      <c r="H460" s="94" t="s">
        <v>1909</v>
      </c>
      <c r="I460" s="86">
        <v>1.0</v>
      </c>
      <c r="J460" s="87" t="s">
        <v>1420</v>
      </c>
      <c r="K460" s="88">
        <v>45822.0</v>
      </c>
      <c r="L460" s="86" t="s">
        <v>38</v>
      </c>
      <c r="M460" s="92" t="s">
        <v>1962</v>
      </c>
      <c r="N460" s="89" t="s">
        <v>2138</v>
      </c>
      <c r="O460" s="89" t="s">
        <v>2139</v>
      </c>
      <c r="P460" s="89">
        <v>108924.0</v>
      </c>
      <c r="Q460" s="89" t="s">
        <v>1970</v>
      </c>
      <c r="R460" s="89" t="s">
        <v>1971</v>
      </c>
      <c r="S460" s="89">
        <v>2250.0</v>
      </c>
      <c r="T460" s="90"/>
      <c r="U460" s="89" t="s">
        <v>2140</v>
      </c>
      <c r="V460" s="90"/>
      <c r="W460" s="83"/>
      <c r="X460" s="89" t="s">
        <v>1023</v>
      </c>
      <c r="Y460" s="89" t="s">
        <v>48</v>
      </c>
      <c r="Z460" s="89" t="s">
        <v>49</v>
      </c>
      <c r="AA460" s="89" t="s">
        <v>1860</v>
      </c>
      <c r="AB460" s="89" t="s">
        <v>1812</v>
      </c>
      <c r="AC460" s="83"/>
      <c r="AD460" s="83"/>
      <c r="AE460" s="83"/>
      <c r="AF460" s="83"/>
      <c r="AG460" s="83"/>
      <c r="AH460" s="91"/>
      <c r="AI460" s="91"/>
      <c r="AJ460" s="91"/>
      <c r="AK460" s="91"/>
    </row>
    <row r="461" hidden="1">
      <c r="A461" s="91"/>
      <c r="B461" s="80">
        <v>45769.0</v>
      </c>
      <c r="C461" s="80">
        <v>45801.0</v>
      </c>
      <c r="D461" s="81">
        <f t="shared" si="11"/>
        <v>0</v>
      </c>
      <c r="E461" s="82" t="s">
        <v>2128</v>
      </c>
      <c r="F461" s="83"/>
      <c r="G461" s="84"/>
      <c r="H461" s="86" t="s">
        <v>1165</v>
      </c>
      <c r="I461" s="86">
        <v>8.0</v>
      </c>
      <c r="J461" s="87" t="s">
        <v>2051</v>
      </c>
      <c r="K461" s="88">
        <v>45808.0</v>
      </c>
      <c r="L461" s="86" t="s">
        <v>250</v>
      </c>
      <c r="M461" s="92" t="s">
        <v>2141</v>
      </c>
      <c r="N461" s="89" t="s">
        <v>2142</v>
      </c>
      <c r="O461" s="89" t="s">
        <v>2143</v>
      </c>
      <c r="P461" s="89">
        <v>253960.0</v>
      </c>
      <c r="Q461" s="89" t="s">
        <v>1196</v>
      </c>
      <c r="R461" s="89" t="s">
        <v>603</v>
      </c>
      <c r="S461" s="90"/>
      <c r="T461" s="90"/>
      <c r="U461" s="89" t="s">
        <v>2144</v>
      </c>
      <c r="V461" s="89" t="s">
        <v>2145</v>
      </c>
      <c r="W461" s="83"/>
      <c r="X461" s="89" t="s">
        <v>1023</v>
      </c>
      <c r="Y461" s="89" t="s">
        <v>48</v>
      </c>
      <c r="Z461" s="89" t="s">
        <v>102</v>
      </c>
      <c r="AA461" s="89" t="s">
        <v>72</v>
      </c>
      <c r="AB461" s="89" t="s">
        <v>1812</v>
      </c>
      <c r="AC461" s="83"/>
      <c r="AD461" s="83"/>
      <c r="AE461" s="83"/>
      <c r="AF461" s="83"/>
      <c r="AG461" s="83"/>
      <c r="AH461" s="93" t="s">
        <v>1584</v>
      </c>
      <c r="AI461" s="91"/>
      <c r="AJ461" s="91"/>
      <c r="AK461" s="91"/>
    </row>
    <row r="462" hidden="1">
      <c r="A462" s="91"/>
      <c r="B462" s="99">
        <v>45794.0</v>
      </c>
      <c r="C462" s="99">
        <v>45808.0</v>
      </c>
      <c r="D462" s="81">
        <f t="shared" si="11"/>
        <v>0</v>
      </c>
      <c r="E462" s="94" t="s">
        <v>2120</v>
      </c>
      <c r="F462" s="83"/>
      <c r="G462" s="84"/>
      <c r="H462" s="94" t="s">
        <v>1915</v>
      </c>
      <c r="I462" s="86">
        <v>1.0</v>
      </c>
      <c r="J462" s="87" t="s">
        <v>2051</v>
      </c>
      <c r="K462" s="88">
        <v>45811.0</v>
      </c>
      <c r="L462" s="86" t="s">
        <v>2067</v>
      </c>
      <c r="M462" s="92" t="s">
        <v>2146</v>
      </c>
      <c r="N462" s="89">
        <v>378.0</v>
      </c>
      <c r="O462" s="89" t="s">
        <v>2069</v>
      </c>
      <c r="P462" s="89">
        <v>274100.0</v>
      </c>
      <c r="Q462" s="89" t="s">
        <v>2053</v>
      </c>
      <c r="R462" s="89" t="s">
        <v>1608</v>
      </c>
      <c r="S462" s="89">
        <v>650.0</v>
      </c>
      <c r="T462" s="90"/>
      <c r="U462" s="89" t="s">
        <v>2147</v>
      </c>
      <c r="V462" s="89" t="s">
        <v>2148</v>
      </c>
      <c r="W462" s="83"/>
      <c r="X462" s="89" t="s">
        <v>1023</v>
      </c>
      <c r="Y462" s="89" t="s">
        <v>48</v>
      </c>
      <c r="Z462" s="89" t="s">
        <v>49</v>
      </c>
      <c r="AA462" s="89" t="s">
        <v>1860</v>
      </c>
      <c r="AB462" s="89" t="s">
        <v>1812</v>
      </c>
      <c r="AC462" s="83"/>
      <c r="AD462" s="83"/>
      <c r="AE462" s="83"/>
      <c r="AF462" s="83"/>
      <c r="AG462" s="83"/>
      <c r="AH462" s="93" t="s">
        <v>1584</v>
      </c>
      <c r="AI462" s="91"/>
      <c r="AJ462" s="91"/>
      <c r="AK462" s="91"/>
    </row>
    <row r="463" hidden="1">
      <c r="A463" s="91"/>
      <c r="B463" s="89" t="s">
        <v>2149</v>
      </c>
      <c r="C463" s="98">
        <v>45811.0</v>
      </c>
      <c r="D463" s="81">
        <f t="shared" si="11"/>
        <v>0</v>
      </c>
      <c r="E463" s="94" t="s">
        <v>2120</v>
      </c>
      <c r="F463" s="83"/>
      <c r="G463" s="84"/>
      <c r="H463" s="94" t="s">
        <v>1915</v>
      </c>
      <c r="I463" s="86">
        <v>5.0</v>
      </c>
      <c r="J463" s="87" t="s">
        <v>2051</v>
      </c>
      <c r="K463" s="88">
        <v>45823.0</v>
      </c>
      <c r="L463" s="86" t="s">
        <v>2024</v>
      </c>
      <c r="M463" s="92" t="s">
        <v>2150</v>
      </c>
      <c r="N463" s="89" t="s">
        <v>2151</v>
      </c>
      <c r="O463" s="89" t="s">
        <v>2152</v>
      </c>
      <c r="P463" s="89">
        <v>288072.0</v>
      </c>
      <c r="Q463" s="89" t="s">
        <v>477</v>
      </c>
      <c r="R463" s="89" t="s">
        <v>2153</v>
      </c>
      <c r="S463" s="90"/>
      <c r="T463" s="90"/>
      <c r="U463" s="89" t="s">
        <v>2154</v>
      </c>
      <c r="V463" s="90"/>
      <c r="W463" s="83"/>
      <c r="X463" s="89" t="s">
        <v>1023</v>
      </c>
      <c r="Y463" s="89" t="s">
        <v>48</v>
      </c>
      <c r="Z463" s="89" t="s">
        <v>102</v>
      </c>
      <c r="AA463" s="89" t="s">
        <v>1860</v>
      </c>
      <c r="AB463" s="90"/>
      <c r="AC463" s="83"/>
      <c r="AD463" s="83"/>
      <c r="AE463" s="83"/>
      <c r="AF463" s="83"/>
      <c r="AG463" s="83"/>
      <c r="AH463" s="91"/>
      <c r="AI463" s="91"/>
      <c r="AJ463" s="91"/>
      <c r="AK463" s="91"/>
    </row>
    <row r="464" hidden="1">
      <c r="A464" s="91"/>
      <c r="B464" s="99">
        <v>45785.0</v>
      </c>
      <c r="C464" s="99">
        <v>45812.0</v>
      </c>
      <c r="D464" s="81">
        <f t="shared" si="11"/>
        <v>0</v>
      </c>
      <c r="E464" s="94" t="s">
        <v>2120</v>
      </c>
      <c r="F464" s="83"/>
      <c r="G464" s="84"/>
      <c r="H464" s="94" t="s">
        <v>1915</v>
      </c>
      <c r="I464" s="86">
        <v>3.0</v>
      </c>
      <c r="J464" s="87" t="s">
        <v>2051</v>
      </c>
      <c r="K464" s="88">
        <v>45818.0</v>
      </c>
      <c r="L464" s="86" t="s">
        <v>53</v>
      </c>
      <c r="M464" s="92" t="s">
        <v>2155</v>
      </c>
      <c r="N464" s="89" t="s">
        <v>2156</v>
      </c>
      <c r="O464" s="89" t="s">
        <v>2157</v>
      </c>
      <c r="P464" s="89">
        <v>281098.0</v>
      </c>
      <c r="Q464" s="89" t="s">
        <v>129</v>
      </c>
      <c r="R464" s="92" t="s">
        <v>2158</v>
      </c>
      <c r="S464" s="90"/>
      <c r="T464" s="90"/>
      <c r="U464" s="89" t="s">
        <v>2159</v>
      </c>
      <c r="V464" s="90"/>
      <c r="W464" s="83"/>
      <c r="X464" s="89" t="s">
        <v>47</v>
      </c>
      <c r="Y464" s="89" t="s">
        <v>48</v>
      </c>
      <c r="Z464" s="89" t="s">
        <v>102</v>
      </c>
      <c r="AA464" s="89" t="s">
        <v>72</v>
      </c>
      <c r="AB464" s="90"/>
      <c r="AC464" s="83"/>
      <c r="AD464" s="83"/>
      <c r="AE464" s="83"/>
      <c r="AF464" s="83"/>
      <c r="AG464" s="83"/>
      <c r="AH464" s="93" t="s">
        <v>1584</v>
      </c>
      <c r="AI464" s="91"/>
      <c r="AJ464" s="91"/>
      <c r="AK464" s="91"/>
    </row>
    <row r="465" hidden="1">
      <c r="A465" s="91"/>
      <c r="B465" s="99">
        <v>45793.0</v>
      </c>
      <c r="C465" s="99">
        <v>45812.0</v>
      </c>
      <c r="D465" s="81">
        <f t="shared" si="11"/>
        <v>0</v>
      </c>
      <c r="E465" s="94" t="s">
        <v>2120</v>
      </c>
      <c r="F465" s="83"/>
      <c r="G465" s="84"/>
      <c r="H465" s="94" t="s">
        <v>1915</v>
      </c>
      <c r="I465" s="86">
        <v>2.0</v>
      </c>
      <c r="J465" s="87" t="s">
        <v>2051</v>
      </c>
      <c r="K465" s="88">
        <v>45823.0</v>
      </c>
      <c r="L465" s="86" t="s">
        <v>2160</v>
      </c>
      <c r="M465" s="92" t="s">
        <v>2161</v>
      </c>
      <c r="N465" s="89" t="s">
        <v>2162</v>
      </c>
      <c r="O465" s="89" t="s">
        <v>2163</v>
      </c>
      <c r="P465" s="89">
        <v>291106.0</v>
      </c>
      <c r="Q465" s="89" t="s">
        <v>1280</v>
      </c>
      <c r="R465" s="92" t="s">
        <v>2164</v>
      </c>
      <c r="S465" s="89">
        <v>2424.0</v>
      </c>
      <c r="T465" s="90"/>
      <c r="U465" s="89" t="s">
        <v>2165</v>
      </c>
      <c r="V465" s="89" t="s">
        <v>2166</v>
      </c>
      <c r="W465" s="83"/>
      <c r="X465" s="89" t="s">
        <v>47</v>
      </c>
      <c r="Y465" s="89" t="s">
        <v>48</v>
      </c>
      <c r="Z465" s="89" t="s">
        <v>102</v>
      </c>
      <c r="AA465" s="89" t="s">
        <v>72</v>
      </c>
      <c r="AB465" s="89" t="s">
        <v>165</v>
      </c>
      <c r="AC465" s="83"/>
      <c r="AD465" s="83"/>
      <c r="AE465" s="83"/>
      <c r="AF465" s="83"/>
      <c r="AG465" s="83"/>
      <c r="AH465" s="91"/>
      <c r="AI465" s="91"/>
      <c r="AJ465" s="91"/>
      <c r="AK465" s="91"/>
    </row>
    <row r="466" hidden="1">
      <c r="A466" s="100"/>
      <c r="B466" s="101">
        <v>45763.0</v>
      </c>
      <c r="C466" s="101">
        <v>45816.0</v>
      </c>
      <c r="D466" s="102">
        <f t="shared" si="11"/>
        <v>0</v>
      </c>
      <c r="E466" s="103" t="s">
        <v>2167</v>
      </c>
      <c r="F466" s="104"/>
      <c r="G466" s="105"/>
      <c r="H466" s="106" t="s">
        <v>1165</v>
      </c>
      <c r="I466" s="107" t="s">
        <v>1689</v>
      </c>
      <c r="J466" s="108" t="s">
        <v>2051</v>
      </c>
      <c r="K466" s="109">
        <v>45836.0</v>
      </c>
      <c r="L466" s="107" t="s">
        <v>403</v>
      </c>
      <c r="M466" s="110" t="s">
        <v>2168</v>
      </c>
      <c r="N466" s="103" t="s">
        <v>2169</v>
      </c>
      <c r="O466" s="111"/>
      <c r="P466" s="103">
        <v>129773.0</v>
      </c>
      <c r="Q466" s="103" t="s">
        <v>2053</v>
      </c>
      <c r="R466" s="110" t="s">
        <v>2170</v>
      </c>
      <c r="S466" s="103">
        <v>675.0</v>
      </c>
      <c r="T466" s="111"/>
      <c r="U466" s="111"/>
      <c r="V466" s="111"/>
      <c r="W466" s="104"/>
      <c r="X466" s="103" t="s">
        <v>47</v>
      </c>
      <c r="Y466" s="103" t="s">
        <v>48</v>
      </c>
      <c r="Z466" s="103" t="s">
        <v>102</v>
      </c>
      <c r="AA466" s="103" t="s">
        <v>72</v>
      </c>
      <c r="AB466" s="103" t="s">
        <v>1824</v>
      </c>
      <c r="AC466" s="104"/>
      <c r="AD466" s="104"/>
      <c r="AE466" s="104"/>
      <c r="AF466" s="104"/>
      <c r="AG466" s="104"/>
      <c r="AH466" s="100"/>
      <c r="AI466" s="100"/>
      <c r="AJ466" s="100"/>
      <c r="AK466" s="100"/>
    </row>
    <row r="467" hidden="1">
      <c r="A467" s="91"/>
      <c r="B467" s="80">
        <v>45781.0</v>
      </c>
      <c r="C467" s="80">
        <v>45823.0</v>
      </c>
      <c r="D467" s="81">
        <f t="shared" si="11"/>
        <v>0</v>
      </c>
      <c r="E467" s="94" t="s">
        <v>2120</v>
      </c>
      <c r="F467" s="83"/>
      <c r="G467" s="84"/>
      <c r="H467" s="94" t="s">
        <v>1915</v>
      </c>
      <c r="I467" s="86">
        <v>2.0</v>
      </c>
      <c r="J467" s="87" t="s">
        <v>2051</v>
      </c>
      <c r="K467" s="88">
        <v>45829.0</v>
      </c>
      <c r="L467" s="86" t="s">
        <v>168</v>
      </c>
      <c r="M467" s="92" t="s">
        <v>2171</v>
      </c>
      <c r="N467" s="89">
        <v>5250180.0</v>
      </c>
      <c r="O467" s="89" t="s">
        <v>2172</v>
      </c>
      <c r="P467" s="89">
        <v>299225.0</v>
      </c>
      <c r="Q467" s="89" t="s">
        <v>171</v>
      </c>
      <c r="R467" s="89" t="s">
        <v>2173</v>
      </c>
      <c r="S467" s="89">
        <v>2000.0</v>
      </c>
      <c r="T467" s="90"/>
      <c r="U467" s="89" t="s">
        <v>2174</v>
      </c>
      <c r="V467" s="89" t="s">
        <v>2175</v>
      </c>
      <c r="W467" s="83"/>
      <c r="X467" s="89" t="s">
        <v>1023</v>
      </c>
      <c r="Y467" s="89" t="s">
        <v>48</v>
      </c>
      <c r="Z467" s="89" t="s">
        <v>102</v>
      </c>
      <c r="AA467" s="89" t="s">
        <v>1860</v>
      </c>
      <c r="AB467" s="89" t="s">
        <v>1812</v>
      </c>
      <c r="AC467" s="83"/>
      <c r="AD467" s="83"/>
      <c r="AE467" s="83"/>
      <c r="AF467" s="83"/>
      <c r="AG467" s="83"/>
      <c r="AH467" s="91"/>
      <c r="AI467" s="91"/>
      <c r="AJ467" s="91"/>
      <c r="AK467" s="91"/>
    </row>
    <row r="468" hidden="1">
      <c r="A468" s="91"/>
      <c r="B468" s="80">
        <v>45775.0</v>
      </c>
      <c r="C468" s="80">
        <v>45823.0</v>
      </c>
      <c r="D468" s="81">
        <f t="shared" si="11"/>
        <v>0</v>
      </c>
      <c r="E468" s="89" t="s">
        <v>2167</v>
      </c>
      <c r="F468" s="83"/>
      <c r="G468" s="84"/>
      <c r="H468" s="86" t="s">
        <v>1165</v>
      </c>
      <c r="I468" s="86">
        <v>3.0</v>
      </c>
      <c r="J468" s="87" t="s">
        <v>2051</v>
      </c>
      <c r="K468" s="88">
        <v>45831.0</v>
      </c>
      <c r="L468" s="86" t="s">
        <v>2176</v>
      </c>
      <c r="M468" s="92" t="s">
        <v>2177</v>
      </c>
      <c r="N468" s="89" t="s">
        <v>2178</v>
      </c>
      <c r="O468" s="89" t="s">
        <v>2179</v>
      </c>
      <c r="P468" s="89">
        <v>123570.0</v>
      </c>
      <c r="Q468" s="89" t="s">
        <v>1970</v>
      </c>
      <c r="R468" s="89" t="s">
        <v>334</v>
      </c>
      <c r="S468" s="89">
        <v>1800.0</v>
      </c>
      <c r="T468" s="90"/>
      <c r="U468" s="89" t="s">
        <v>2180</v>
      </c>
      <c r="V468" s="89" t="s">
        <v>2181</v>
      </c>
      <c r="W468" s="83"/>
      <c r="X468" s="89" t="s">
        <v>1023</v>
      </c>
      <c r="Y468" s="89" t="s">
        <v>48</v>
      </c>
      <c r="Z468" s="89" t="s">
        <v>49</v>
      </c>
      <c r="AA468" s="89" t="s">
        <v>72</v>
      </c>
      <c r="AB468" s="89" t="s">
        <v>1928</v>
      </c>
      <c r="AC468" s="83"/>
      <c r="AD468" s="83"/>
      <c r="AE468" s="83"/>
      <c r="AF468" s="83"/>
      <c r="AG468" s="83"/>
      <c r="AH468" s="91"/>
      <c r="AI468" s="91"/>
      <c r="AJ468" s="91"/>
      <c r="AK468" s="91"/>
    </row>
    <row r="469" hidden="1">
      <c r="A469" s="91"/>
      <c r="B469" s="99">
        <v>45807.0</v>
      </c>
      <c r="C469" s="99">
        <v>45826.0</v>
      </c>
      <c r="D469" s="81">
        <f t="shared" si="11"/>
        <v>0</v>
      </c>
      <c r="E469" s="89" t="s">
        <v>2167</v>
      </c>
      <c r="F469" s="83"/>
      <c r="G469" s="84"/>
      <c r="H469" s="94" t="s">
        <v>1165</v>
      </c>
      <c r="I469" s="86">
        <v>3.0</v>
      </c>
      <c r="J469" s="87" t="s">
        <v>2051</v>
      </c>
      <c r="K469" s="88">
        <v>45832.0</v>
      </c>
      <c r="L469" s="86" t="s">
        <v>2182</v>
      </c>
      <c r="M469" s="92" t="s">
        <v>2183</v>
      </c>
      <c r="N469" s="89" t="s">
        <v>2184</v>
      </c>
      <c r="O469" s="89"/>
      <c r="P469" s="89">
        <v>309219.0</v>
      </c>
      <c r="Q469" s="89" t="s">
        <v>148</v>
      </c>
      <c r="R469" s="89" t="s">
        <v>149</v>
      </c>
      <c r="S469" s="89">
        <v>900.0</v>
      </c>
      <c r="T469" s="90"/>
      <c r="U469" s="89" t="s">
        <v>2185</v>
      </c>
      <c r="V469" s="90"/>
      <c r="W469" s="83"/>
      <c r="X469" s="89" t="s">
        <v>1023</v>
      </c>
      <c r="Y469" s="89" t="s">
        <v>48</v>
      </c>
      <c r="Z469" s="89" t="s">
        <v>2186</v>
      </c>
      <c r="AA469" s="89" t="s">
        <v>1860</v>
      </c>
      <c r="AB469" s="89" t="s">
        <v>2187</v>
      </c>
      <c r="AC469" s="83"/>
      <c r="AD469" s="83"/>
      <c r="AE469" s="83"/>
      <c r="AF469" s="83"/>
      <c r="AG469" s="83"/>
      <c r="AH469" s="91"/>
      <c r="AI469" s="91"/>
      <c r="AJ469" s="91"/>
      <c r="AK469" s="91"/>
    </row>
    <row r="470" hidden="1">
      <c r="A470" s="91"/>
      <c r="B470" s="99">
        <v>45796.0</v>
      </c>
      <c r="C470" s="80">
        <v>45828.0</v>
      </c>
      <c r="D470" s="81">
        <f t="shared" si="11"/>
        <v>0</v>
      </c>
      <c r="E470" s="89" t="s">
        <v>2120</v>
      </c>
      <c r="F470" s="83"/>
      <c r="G470" s="84"/>
      <c r="H470" s="94" t="s">
        <v>1915</v>
      </c>
      <c r="I470" s="86">
        <v>4.0</v>
      </c>
      <c r="J470" s="87" t="s">
        <v>2051</v>
      </c>
      <c r="K470" s="88">
        <v>45832.0</v>
      </c>
      <c r="L470" s="86" t="s">
        <v>270</v>
      </c>
      <c r="M470" s="92" t="s">
        <v>2188</v>
      </c>
      <c r="N470" s="89" t="s">
        <v>2189</v>
      </c>
      <c r="O470" s="89" t="s">
        <v>2190</v>
      </c>
      <c r="P470" s="89">
        <v>302582.0</v>
      </c>
      <c r="Q470" s="89" t="s">
        <v>274</v>
      </c>
      <c r="R470" s="89" t="s">
        <v>275</v>
      </c>
      <c r="S470" s="89">
        <v>2800.0</v>
      </c>
      <c r="T470" s="90"/>
      <c r="U470" s="89" t="s">
        <v>2191</v>
      </c>
      <c r="V470" s="89" t="s">
        <v>2192</v>
      </c>
      <c r="W470" s="83"/>
      <c r="X470" s="89" t="s">
        <v>1023</v>
      </c>
      <c r="Y470" s="89" t="s">
        <v>48</v>
      </c>
      <c r="Z470" s="89" t="s">
        <v>102</v>
      </c>
      <c r="AA470" s="89" t="s">
        <v>970</v>
      </c>
      <c r="AB470" s="90"/>
      <c r="AC470" s="83"/>
      <c r="AD470" s="83"/>
      <c r="AE470" s="83"/>
      <c r="AF470" s="83"/>
      <c r="AG470" s="83"/>
      <c r="AH470" s="91"/>
      <c r="AI470" s="91"/>
      <c r="AJ470" s="91"/>
      <c r="AK470" s="91"/>
    </row>
    <row r="471" hidden="1">
      <c r="A471" s="91"/>
      <c r="B471" s="99">
        <v>45811.0</v>
      </c>
      <c r="C471" s="99">
        <v>45829.0</v>
      </c>
      <c r="D471" s="81">
        <f t="shared" si="11"/>
        <v>0</v>
      </c>
      <c r="E471" s="89" t="s">
        <v>2120</v>
      </c>
      <c r="F471" s="83"/>
      <c r="G471" s="84"/>
      <c r="H471" s="94" t="s">
        <v>1915</v>
      </c>
      <c r="I471" s="86">
        <v>5.0</v>
      </c>
      <c r="J471" s="87" t="s">
        <v>2051</v>
      </c>
      <c r="K471" s="88">
        <v>228458.0</v>
      </c>
      <c r="L471" s="86" t="s">
        <v>2024</v>
      </c>
      <c r="M471" s="92" t="s">
        <v>2150</v>
      </c>
      <c r="N471" s="89" t="s">
        <v>2193</v>
      </c>
      <c r="O471" s="89" t="s">
        <v>2152</v>
      </c>
      <c r="P471" s="89">
        <v>320101.0</v>
      </c>
      <c r="Q471" s="89" t="s">
        <v>477</v>
      </c>
      <c r="R471" s="89" t="s">
        <v>2153</v>
      </c>
      <c r="S471" s="89">
        <v>1200.0</v>
      </c>
      <c r="T471" s="90"/>
      <c r="U471" s="89" t="s">
        <v>2194</v>
      </c>
      <c r="V471" s="89">
        <v>3.100089471E9</v>
      </c>
      <c r="W471" s="83"/>
      <c r="X471" s="89" t="s">
        <v>1023</v>
      </c>
      <c r="Y471" s="89" t="s">
        <v>48</v>
      </c>
      <c r="Z471" s="89" t="s">
        <v>102</v>
      </c>
      <c r="AA471" s="89" t="s">
        <v>1860</v>
      </c>
      <c r="AB471" s="89" t="s">
        <v>1812</v>
      </c>
      <c r="AC471" s="83"/>
      <c r="AD471" s="83"/>
      <c r="AE471" s="83"/>
      <c r="AF471" s="83"/>
      <c r="AG471" s="83"/>
      <c r="AH471" s="91"/>
      <c r="AI471" s="91"/>
      <c r="AJ471" s="91"/>
      <c r="AK471" s="91"/>
    </row>
    <row r="472" hidden="1">
      <c r="A472" s="91"/>
      <c r="B472" s="99">
        <v>45818.0</v>
      </c>
      <c r="C472" s="99">
        <v>45829.0</v>
      </c>
      <c r="D472" s="81">
        <f t="shared" si="11"/>
        <v>0</v>
      </c>
      <c r="E472" s="112" t="s">
        <v>2195</v>
      </c>
      <c r="F472" s="83"/>
      <c r="G472" s="84"/>
      <c r="H472" s="94" t="s">
        <v>1915</v>
      </c>
      <c r="I472" s="86">
        <v>5.0</v>
      </c>
      <c r="J472" s="87" t="s">
        <v>2051</v>
      </c>
      <c r="K472" s="88">
        <v>45848.0</v>
      </c>
      <c r="L472" s="86" t="s">
        <v>2024</v>
      </c>
      <c r="M472" s="92" t="s">
        <v>2150</v>
      </c>
      <c r="N472" s="89" t="s">
        <v>2196</v>
      </c>
      <c r="O472" s="89" t="s">
        <v>2152</v>
      </c>
      <c r="P472" s="89">
        <v>321356.0</v>
      </c>
      <c r="Q472" s="89" t="s">
        <v>477</v>
      </c>
      <c r="R472" s="89" t="s">
        <v>2153</v>
      </c>
      <c r="S472" s="89">
        <v>1200.0</v>
      </c>
      <c r="T472" s="90"/>
      <c r="U472" s="89" t="s">
        <v>2197</v>
      </c>
      <c r="V472" s="89">
        <v>3.100090929E9</v>
      </c>
      <c r="W472" s="83"/>
      <c r="X472" s="89" t="s">
        <v>1023</v>
      </c>
      <c r="Y472" s="89" t="s">
        <v>48</v>
      </c>
      <c r="Z472" s="89" t="s">
        <v>102</v>
      </c>
      <c r="AA472" s="89" t="s">
        <v>1860</v>
      </c>
      <c r="AB472" s="89" t="s">
        <v>1812</v>
      </c>
      <c r="AC472" s="83"/>
      <c r="AD472" s="83"/>
      <c r="AE472" s="83"/>
      <c r="AF472" s="83"/>
      <c r="AG472" s="83"/>
      <c r="AH472" s="91"/>
      <c r="AI472" s="91"/>
      <c r="AJ472" s="91"/>
      <c r="AK472" s="91"/>
    </row>
    <row r="473" hidden="1">
      <c r="A473" s="91"/>
      <c r="B473" s="98">
        <v>45780.0</v>
      </c>
      <c r="C473" s="80">
        <v>45831.0</v>
      </c>
      <c r="D473" s="81">
        <f t="shared" si="11"/>
        <v>0</v>
      </c>
      <c r="E473" s="89" t="s">
        <v>2167</v>
      </c>
      <c r="F473" s="83"/>
      <c r="G473" s="84"/>
      <c r="H473" s="113" t="s">
        <v>1165</v>
      </c>
      <c r="I473" s="86">
        <v>8.0</v>
      </c>
      <c r="J473" s="87" t="s">
        <v>1420</v>
      </c>
      <c r="K473" s="88">
        <v>45852.0</v>
      </c>
      <c r="L473" s="86" t="s">
        <v>988</v>
      </c>
      <c r="M473" s="92" t="s">
        <v>2198</v>
      </c>
      <c r="N473" s="89" t="s">
        <v>2199</v>
      </c>
      <c r="O473" s="89" t="s">
        <v>2200</v>
      </c>
      <c r="P473" s="89">
        <v>132555.0</v>
      </c>
      <c r="Q473" s="89" t="s">
        <v>67</v>
      </c>
      <c r="R473" s="89" t="s">
        <v>116</v>
      </c>
      <c r="S473" s="89">
        <v>1750.0</v>
      </c>
      <c r="T473" s="89"/>
      <c r="U473" s="89" t="s">
        <v>2201</v>
      </c>
      <c r="V473" s="89" t="s">
        <v>2202</v>
      </c>
      <c r="W473" s="83"/>
      <c r="X473" s="89" t="s">
        <v>1023</v>
      </c>
      <c r="Y473" s="89" t="s">
        <v>120</v>
      </c>
      <c r="Z473" s="89" t="s">
        <v>49</v>
      </c>
      <c r="AA473" s="89" t="s">
        <v>72</v>
      </c>
      <c r="AB473" s="89" t="s">
        <v>2203</v>
      </c>
      <c r="AC473" s="83"/>
      <c r="AD473" s="83"/>
      <c r="AE473" s="83"/>
      <c r="AF473" s="83"/>
      <c r="AG473" s="83"/>
      <c r="AH473" s="91"/>
      <c r="AI473" s="91"/>
      <c r="AJ473" s="91"/>
      <c r="AK473" s="91"/>
    </row>
    <row r="474" hidden="1">
      <c r="A474" s="91"/>
      <c r="B474" s="99">
        <v>45798.0</v>
      </c>
      <c r="C474" s="99">
        <v>45831.0</v>
      </c>
      <c r="D474" s="81">
        <f t="shared" si="11"/>
        <v>0</v>
      </c>
      <c r="E474" s="94" t="s">
        <v>2167</v>
      </c>
      <c r="F474" s="89">
        <v>150827.0</v>
      </c>
      <c r="G474" s="82">
        <v>6298.0</v>
      </c>
      <c r="H474" s="94" t="s">
        <v>1165</v>
      </c>
      <c r="I474" s="86">
        <v>1.0</v>
      </c>
      <c r="J474" s="95"/>
      <c r="K474" s="88">
        <v>45853.0</v>
      </c>
      <c r="L474" s="86" t="s">
        <v>727</v>
      </c>
      <c r="M474" s="92" t="s">
        <v>2204</v>
      </c>
      <c r="N474" s="89">
        <v>173104.0</v>
      </c>
      <c r="O474" s="89" t="s">
        <v>2205</v>
      </c>
      <c r="P474" s="89">
        <v>132454.0</v>
      </c>
      <c r="Q474" s="89" t="s">
        <v>1970</v>
      </c>
      <c r="R474" s="89" t="s">
        <v>334</v>
      </c>
      <c r="S474" s="89">
        <v>1675.0</v>
      </c>
      <c r="T474" s="90"/>
      <c r="U474" s="89" t="s">
        <v>2206</v>
      </c>
      <c r="V474" s="89" t="s">
        <v>2207</v>
      </c>
      <c r="W474" s="83"/>
      <c r="X474" s="89" t="s">
        <v>1023</v>
      </c>
      <c r="Y474" s="89" t="s">
        <v>120</v>
      </c>
      <c r="Z474" s="89" t="s">
        <v>49</v>
      </c>
      <c r="AA474" s="89" t="s">
        <v>1860</v>
      </c>
      <c r="AB474" s="89" t="s">
        <v>1928</v>
      </c>
      <c r="AC474" s="89" t="s">
        <v>175</v>
      </c>
      <c r="AD474" s="89" t="s">
        <v>2208</v>
      </c>
      <c r="AE474" s="83">
        <f>3456.93+34.5</f>
        <v>3491.43</v>
      </c>
      <c r="AF474" s="83"/>
      <c r="AG474" s="83"/>
      <c r="AH474" s="91"/>
      <c r="AI474" s="91"/>
      <c r="AJ474" s="91"/>
      <c r="AK474" s="91"/>
    </row>
    <row r="475" hidden="1">
      <c r="A475" s="91"/>
      <c r="B475" s="99">
        <v>45807.0</v>
      </c>
      <c r="C475" s="80">
        <v>45834.0</v>
      </c>
      <c r="D475" s="81">
        <f t="shared" si="11"/>
        <v>0</v>
      </c>
      <c r="E475" s="89" t="s">
        <v>2167</v>
      </c>
      <c r="F475" s="83"/>
      <c r="G475" s="84"/>
      <c r="H475" s="94" t="s">
        <v>1165</v>
      </c>
      <c r="I475" s="86">
        <v>5.0</v>
      </c>
      <c r="J475" s="87" t="s">
        <v>2051</v>
      </c>
      <c r="K475" s="88">
        <v>45846.0</v>
      </c>
      <c r="L475" s="86" t="s">
        <v>95</v>
      </c>
      <c r="M475" s="92" t="s">
        <v>2209</v>
      </c>
      <c r="N475" s="89" t="s">
        <v>2210</v>
      </c>
      <c r="O475" s="89" t="s">
        <v>2211</v>
      </c>
      <c r="P475" s="89">
        <v>135723.0</v>
      </c>
      <c r="Q475" s="89" t="s">
        <v>1970</v>
      </c>
      <c r="R475" s="89" t="s">
        <v>334</v>
      </c>
      <c r="S475" s="89" t="s">
        <v>2212</v>
      </c>
      <c r="T475" s="90"/>
      <c r="U475" s="89" t="s">
        <v>2213</v>
      </c>
      <c r="V475" s="90"/>
      <c r="W475" s="83"/>
      <c r="X475" s="89" t="s">
        <v>1023</v>
      </c>
      <c r="Y475" s="89" t="s">
        <v>48</v>
      </c>
      <c r="Z475" s="89" t="s">
        <v>49</v>
      </c>
      <c r="AA475" s="89" t="s">
        <v>72</v>
      </c>
      <c r="AB475" s="89" t="s">
        <v>138</v>
      </c>
      <c r="AC475" s="83"/>
      <c r="AD475" s="83"/>
      <c r="AE475" s="83"/>
      <c r="AF475" s="83"/>
      <c r="AG475" s="83"/>
      <c r="AH475" s="91"/>
      <c r="AI475" s="91"/>
      <c r="AJ475" s="91"/>
      <c r="AK475" s="91"/>
    </row>
    <row r="476" hidden="1">
      <c r="A476" s="91"/>
      <c r="B476" s="99">
        <v>45811.0</v>
      </c>
      <c r="C476" s="99">
        <v>45836.0</v>
      </c>
      <c r="D476" s="81">
        <f t="shared" si="11"/>
        <v>0</v>
      </c>
      <c r="E476" s="89" t="s">
        <v>2167</v>
      </c>
      <c r="F476" s="83"/>
      <c r="G476" s="84"/>
      <c r="H476" s="94" t="s">
        <v>1165</v>
      </c>
      <c r="I476" s="86">
        <v>5.0</v>
      </c>
      <c r="J476" s="87" t="s">
        <v>2051</v>
      </c>
      <c r="K476" s="88">
        <v>45850.0</v>
      </c>
      <c r="L476" s="86" t="s">
        <v>2131</v>
      </c>
      <c r="M476" s="92" t="s">
        <v>2214</v>
      </c>
      <c r="N476" s="89" t="s">
        <v>2215</v>
      </c>
      <c r="O476" s="89" t="s">
        <v>2134</v>
      </c>
      <c r="P476" s="89">
        <v>322444.0</v>
      </c>
      <c r="Q476" s="89" t="s">
        <v>148</v>
      </c>
      <c r="R476" s="89" t="s">
        <v>2216</v>
      </c>
      <c r="S476" s="89">
        <v>2600.0</v>
      </c>
      <c r="T476" s="90"/>
      <c r="U476" s="89" t="s">
        <v>2217</v>
      </c>
      <c r="V476" s="89" t="s">
        <v>2218</v>
      </c>
      <c r="W476" s="83"/>
      <c r="X476" s="89" t="s">
        <v>1023</v>
      </c>
      <c r="Y476" s="89" t="s">
        <v>48</v>
      </c>
      <c r="Z476" s="89" t="s">
        <v>102</v>
      </c>
      <c r="AA476" s="89" t="s">
        <v>970</v>
      </c>
      <c r="AB476" s="89" t="s">
        <v>1812</v>
      </c>
      <c r="AC476" s="83"/>
      <c r="AD476" s="83"/>
      <c r="AE476" s="83"/>
      <c r="AF476" s="83"/>
      <c r="AG476" s="83"/>
      <c r="AH476" s="91"/>
      <c r="AI476" s="91"/>
      <c r="AJ476" s="91"/>
      <c r="AK476" s="91"/>
    </row>
    <row r="477" hidden="1">
      <c r="A477" s="91"/>
      <c r="B477" s="99">
        <v>45812.0</v>
      </c>
      <c r="C477" s="99">
        <v>45837.0</v>
      </c>
      <c r="D477" s="81">
        <f t="shared" si="11"/>
        <v>0</v>
      </c>
      <c r="E477" s="89" t="s">
        <v>2167</v>
      </c>
      <c r="F477" s="83"/>
      <c r="G477" s="84"/>
      <c r="H477" s="87" t="s">
        <v>1165</v>
      </c>
      <c r="I477" s="86">
        <v>2.0</v>
      </c>
      <c r="J477" s="87" t="s">
        <v>2051</v>
      </c>
      <c r="K477" s="88">
        <v>45855.0</v>
      </c>
      <c r="L477" s="86" t="s">
        <v>250</v>
      </c>
      <c r="M477" s="92" t="s">
        <v>2219</v>
      </c>
      <c r="N477" s="89" t="s">
        <v>2220</v>
      </c>
      <c r="O477" s="89" t="s">
        <v>2221</v>
      </c>
      <c r="P477" s="89">
        <v>135729.0</v>
      </c>
      <c r="Q477" s="89" t="s">
        <v>1970</v>
      </c>
      <c r="R477" s="89" t="s">
        <v>105</v>
      </c>
      <c r="S477" s="89" t="s">
        <v>2222</v>
      </c>
      <c r="T477" s="90"/>
      <c r="U477" s="89" t="s">
        <v>2223</v>
      </c>
      <c r="V477" s="89" t="s">
        <v>2224</v>
      </c>
      <c r="W477" s="83"/>
      <c r="X477" s="89" t="s">
        <v>1023</v>
      </c>
      <c r="Y477" s="89" t="s">
        <v>1758</v>
      </c>
      <c r="Z477" s="89" t="s">
        <v>49</v>
      </c>
      <c r="AA477" s="89" t="s">
        <v>1860</v>
      </c>
      <c r="AB477" s="89" t="s">
        <v>1812</v>
      </c>
      <c r="AC477" s="83"/>
      <c r="AD477" s="83"/>
      <c r="AE477" s="83"/>
      <c r="AF477" s="83"/>
      <c r="AG477" s="83"/>
      <c r="AH477" s="91"/>
      <c r="AI477" s="91"/>
      <c r="AJ477" s="91"/>
      <c r="AK477" s="91"/>
    </row>
    <row r="478" hidden="1">
      <c r="A478" s="91"/>
      <c r="B478" s="99">
        <v>45825.0</v>
      </c>
      <c r="C478" s="99">
        <v>45842.0</v>
      </c>
      <c r="D478" s="81">
        <f t="shared" si="11"/>
        <v>0</v>
      </c>
      <c r="E478" s="89" t="s">
        <v>2167</v>
      </c>
      <c r="F478" s="83"/>
      <c r="G478" s="84"/>
      <c r="H478" s="94" t="s">
        <v>1165</v>
      </c>
      <c r="I478" s="86">
        <v>2.0</v>
      </c>
      <c r="J478" s="87" t="s">
        <v>2051</v>
      </c>
      <c r="K478" s="88">
        <v>45850.0</v>
      </c>
      <c r="L478" s="86" t="s">
        <v>727</v>
      </c>
      <c r="M478" s="92" t="s">
        <v>1403</v>
      </c>
      <c r="N478" s="89" t="s">
        <v>2225</v>
      </c>
      <c r="O478" s="89" t="s">
        <v>2226</v>
      </c>
      <c r="P478" s="89">
        <v>333349.0</v>
      </c>
      <c r="Q478" s="89" t="s">
        <v>1405</v>
      </c>
      <c r="R478" s="89" t="s">
        <v>2227</v>
      </c>
      <c r="S478" s="89">
        <v>2600.0</v>
      </c>
      <c r="T478" s="90"/>
      <c r="U478" s="89" t="s">
        <v>2228</v>
      </c>
      <c r="V478" s="89" t="s">
        <v>2229</v>
      </c>
      <c r="W478" s="83"/>
      <c r="X478" s="89" t="s">
        <v>1023</v>
      </c>
      <c r="Y478" s="89" t="s">
        <v>48</v>
      </c>
      <c r="Z478" s="89" t="s">
        <v>102</v>
      </c>
      <c r="AA478" s="89" t="s">
        <v>1860</v>
      </c>
      <c r="AB478" s="89" t="s">
        <v>2230</v>
      </c>
      <c r="AC478" s="83"/>
      <c r="AD478" s="83"/>
      <c r="AE478" s="83"/>
      <c r="AF478" s="83"/>
      <c r="AG478" s="83"/>
      <c r="AH478" s="91"/>
      <c r="AI478" s="91"/>
      <c r="AJ478" s="91"/>
      <c r="AK478" s="91"/>
    </row>
    <row r="479" ht="54.0" hidden="1" customHeight="1">
      <c r="A479" s="91"/>
      <c r="B479" s="99">
        <v>45825.0</v>
      </c>
      <c r="C479" s="99">
        <v>45844.0</v>
      </c>
      <c r="D479" s="81">
        <f t="shared" si="11"/>
        <v>0</v>
      </c>
      <c r="E479" s="114" t="s">
        <v>2120</v>
      </c>
      <c r="F479" s="83"/>
      <c r="G479" s="84"/>
      <c r="H479" s="94" t="s">
        <v>1915</v>
      </c>
      <c r="I479" s="86">
        <v>5.0</v>
      </c>
      <c r="J479" s="87" t="s">
        <v>2051</v>
      </c>
      <c r="K479" s="88">
        <v>45861.0</v>
      </c>
      <c r="L479" s="86" t="s">
        <v>2073</v>
      </c>
      <c r="M479" s="92" t="s">
        <v>2231</v>
      </c>
      <c r="N479" s="89" t="s">
        <v>2232</v>
      </c>
      <c r="O479" s="89" t="s">
        <v>2233</v>
      </c>
      <c r="P479" s="89">
        <v>328066.0</v>
      </c>
      <c r="Q479" s="89" t="s">
        <v>2053</v>
      </c>
      <c r="R479" s="89" t="s">
        <v>1809</v>
      </c>
      <c r="S479" s="89">
        <v>1235.0</v>
      </c>
      <c r="T479" s="90"/>
      <c r="U479" s="89" t="s">
        <v>2234</v>
      </c>
      <c r="V479" s="89" t="s">
        <v>2235</v>
      </c>
      <c r="W479" s="83"/>
      <c r="X479" s="89" t="s">
        <v>1023</v>
      </c>
      <c r="Y479" s="89" t="s">
        <v>48</v>
      </c>
      <c r="Z479" s="89" t="s">
        <v>102</v>
      </c>
      <c r="AA479" s="89" t="s">
        <v>2236</v>
      </c>
      <c r="AB479" s="89" t="s">
        <v>1149</v>
      </c>
      <c r="AC479" s="83"/>
      <c r="AD479" s="83"/>
      <c r="AE479" s="83"/>
      <c r="AF479" s="83"/>
      <c r="AG479" s="83"/>
      <c r="AH479" s="91"/>
      <c r="AI479" s="91"/>
      <c r="AJ479" s="91"/>
      <c r="AK479" s="91"/>
    </row>
    <row r="480" hidden="1">
      <c r="A480" s="91"/>
      <c r="B480" s="99">
        <v>45826.0</v>
      </c>
      <c r="C480" s="99">
        <v>45844.0</v>
      </c>
      <c r="D480" s="81">
        <f t="shared" si="11"/>
        <v>0</v>
      </c>
      <c r="E480" s="94" t="s">
        <v>2167</v>
      </c>
      <c r="F480" s="83"/>
      <c r="G480" s="84"/>
      <c r="H480" s="86" t="s">
        <v>1165</v>
      </c>
      <c r="I480" s="86">
        <v>5.0</v>
      </c>
      <c r="J480" s="87" t="s">
        <v>2051</v>
      </c>
      <c r="K480" s="88">
        <v>45854.0</v>
      </c>
      <c r="L480" s="86" t="s">
        <v>250</v>
      </c>
      <c r="M480" s="92" t="s">
        <v>2237</v>
      </c>
      <c r="N480" s="89" t="s">
        <v>2238</v>
      </c>
      <c r="O480" s="89" t="s">
        <v>2239</v>
      </c>
      <c r="P480" s="89">
        <v>349174.0</v>
      </c>
      <c r="Q480" s="89" t="s">
        <v>148</v>
      </c>
      <c r="R480" s="89" t="s">
        <v>2240</v>
      </c>
      <c r="S480" s="89">
        <v>1800.0</v>
      </c>
      <c r="T480" s="90"/>
      <c r="U480" s="89" t="s">
        <v>2241</v>
      </c>
      <c r="V480" s="89" t="s">
        <v>2242</v>
      </c>
      <c r="W480" s="83"/>
      <c r="X480" s="89" t="s">
        <v>1023</v>
      </c>
      <c r="Y480" s="89" t="s">
        <v>48</v>
      </c>
      <c r="Z480" s="89" t="s">
        <v>102</v>
      </c>
      <c r="AA480" s="89" t="s">
        <v>1860</v>
      </c>
      <c r="AB480" s="89" t="s">
        <v>1747</v>
      </c>
      <c r="AC480" s="83"/>
      <c r="AD480" s="83"/>
      <c r="AE480" s="83"/>
      <c r="AF480" s="83"/>
      <c r="AG480" s="83"/>
      <c r="AH480" s="91"/>
      <c r="AI480" s="91"/>
      <c r="AJ480" s="91"/>
      <c r="AK480" s="91"/>
    </row>
    <row r="481" hidden="1">
      <c r="A481" s="91"/>
      <c r="B481" s="99">
        <v>45826.0</v>
      </c>
      <c r="C481" s="99">
        <v>45844.0</v>
      </c>
      <c r="D481" s="81">
        <f t="shared" si="11"/>
        <v>0</v>
      </c>
      <c r="E481" s="94" t="s">
        <v>2167</v>
      </c>
      <c r="F481" s="83"/>
      <c r="G481" s="84"/>
      <c r="H481" s="86" t="s">
        <v>1165</v>
      </c>
      <c r="I481" s="86">
        <v>5.0</v>
      </c>
      <c r="J481" s="87" t="s">
        <v>2051</v>
      </c>
      <c r="K481" s="88">
        <v>45853.0</v>
      </c>
      <c r="L481" s="86" t="s">
        <v>250</v>
      </c>
      <c r="M481" s="92" t="s">
        <v>2237</v>
      </c>
      <c r="N481" s="89" t="s">
        <v>2243</v>
      </c>
      <c r="O481" s="89" t="s">
        <v>2239</v>
      </c>
      <c r="P481" s="89">
        <v>349161.0</v>
      </c>
      <c r="Q481" s="89" t="s">
        <v>148</v>
      </c>
      <c r="R481" s="89" t="s">
        <v>2240</v>
      </c>
      <c r="S481" s="89">
        <v>1800.0</v>
      </c>
      <c r="T481" s="90"/>
      <c r="U481" s="89" t="s">
        <v>2244</v>
      </c>
      <c r="V481" s="89" t="s">
        <v>2245</v>
      </c>
      <c r="W481" s="83"/>
      <c r="X481" s="89" t="s">
        <v>1023</v>
      </c>
      <c r="Y481" s="89" t="s">
        <v>48</v>
      </c>
      <c r="Z481" s="89" t="s">
        <v>102</v>
      </c>
      <c r="AA481" s="89" t="s">
        <v>1860</v>
      </c>
      <c r="AB481" s="89" t="s">
        <v>1747</v>
      </c>
      <c r="AC481" s="83"/>
      <c r="AD481" s="83"/>
      <c r="AE481" s="83"/>
      <c r="AF481" s="83"/>
      <c r="AG481" s="83"/>
      <c r="AH481" s="91"/>
      <c r="AI481" s="91"/>
      <c r="AJ481" s="91"/>
      <c r="AK481" s="91"/>
    </row>
    <row r="482" hidden="1">
      <c r="A482" s="91"/>
      <c r="B482" s="99">
        <v>45809.0</v>
      </c>
      <c r="C482" s="99">
        <v>45848.0</v>
      </c>
      <c r="D482" s="81">
        <f t="shared" si="11"/>
        <v>0</v>
      </c>
      <c r="E482" s="94" t="s">
        <v>2167</v>
      </c>
      <c r="F482" s="83"/>
      <c r="G482" s="84"/>
      <c r="H482" s="86" t="s">
        <v>1165</v>
      </c>
      <c r="I482" s="86">
        <v>1.0</v>
      </c>
      <c r="J482" s="87" t="s">
        <v>2051</v>
      </c>
      <c r="K482" s="88">
        <v>45857.0</v>
      </c>
      <c r="L482" s="86" t="s">
        <v>2131</v>
      </c>
      <c r="M482" s="92" t="s">
        <v>2246</v>
      </c>
      <c r="N482" s="89">
        <v>255775.0</v>
      </c>
      <c r="O482" s="89" t="s">
        <v>2221</v>
      </c>
      <c r="P482" s="89">
        <v>137867.0</v>
      </c>
      <c r="Q482" s="89" t="s">
        <v>1970</v>
      </c>
      <c r="R482" s="89" t="s">
        <v>334</v>
      </c>
      <c r="S482" s="89">
        <v>2150.0</v>
      </c>
      <c r="T482" s="90"/>
      <c r="U482" s="89" t="s">
        <v>2247</v>
      </c>
      <c r="V482" s="90"/>
      <c r="W482" s="83"/>
      <c r="X482" s="89" t="s">
        <v>1023</v>
      </c>
      <c r="Y482" s="89" t="s">
        <v>120</v>
      </c>
      <c r="Z482" s="89" t="s">
        <v>49</v>
      </c>
      <c r="AA482" s="89" t="s">
        <v>1860</v>
      </c>
      <c r="AB482" s="89" t="s">
        <v>1824</v>
      </c>
      <c r="AC482" s="83"/>
      <c r="AD482" s="83"/>
      <c r="AE482" s="83"/>
      <c r="AF482" s="83"/>
      <c r="AG482" s="83"/>
      <c r="AH482" s="91"/>
      <c r="AI482" s="91"/>
      <c r="AJ482" s="91"/>
      <c r="AK482" s="91"/>
    </row>
    <row r="483" hidden="1">
      <c r="A483" s="91"/>
      <c r="B483" s="99">
        <v>45810.0</v>
      </c>
      <c r="C483" s="99">
        <v>45849.0</v>
      </c>
      <c r="D483" s="81">
        <f t="shared" si="11"/>
        <v>0</v>
      </c>
      <c r="E483" s="94" t="s">
        <v>2167</v>
      </c>
      <c r="F483" s="83"/>
      <c r="G483" s="84"/>
      <c r="H483" s="86" t="s">
        <v>1165</v>
      </c>
      <c r="I483" s="86">
        <v>3.0</v>
      </c>
      <c r="J483" s="87" t="s">
        <v>1420</v>
      </c>
      <c r="K483" s="88">
        <v>45858.0</v>
      </c>
      <c r="L483" s="86" t="s">
        <v>250</v>
      </c>
      <c r="M483" s="92" t="s">
        <v>1791</v>
      </c>
      <c r="N483" s="89" t="s">
        <v>2248</v>
      </c>
      <c r="O483" s="89" t="s">
        <v>2221</v>
      </c>
      <c r="P483" s="89">
        <v>139833.0</v>
      </c>
      <c r="Q483" s="89" t="s">
        <v>1970</v>
      </c>
      <c r="R483" s="89" t="s">
        <v>1971</v>
      </c>
      <c r="S483" s="89" t="s">
        <v>2249</v>
      </c>
      <c r="T483" s="90"/>
      <c r="U483" s="89" t="s">
        <v>2250</v>
      </c>
      <c r="V483" s="89" t="s">
        <v>2251</v>
      </c>
      <c r="W483" s="83"/>
      <c r="X483" s="89" t="s">
        <v>1023</v>
      </c>
      <c r="Y483" s="89" t="s">
        <v>2252</v>
      </c>
      <c r="Z483" s="89" t="s">
        <v>49</v>
      </c>
      <c r="AA483" s="89" t="s">
        <v>1860</v>
      </c>
      <c r="AB483" s="89" t="s">
        <v>1149</v>
      </c>
      <c r="AC483" s="83"/>
      <c r="AD483" s="83"/>
      <c r="AE483" s="83"/>
      <c r="AF483" s="83"/>
      <c r="AG483" s="83"/>
      <c r="AH483" s="91"/>
      <c r="AI483" s="91"/>
      <c r="AJ483" s="91"/>
      <c r="AK483" s="91"/>
    </row>
    <row r="484" hidden="1">
      <c r="A484" s="91"/>
      <c r="B484" s="99">
        <v>45826.0</v>
      </c>
      <c r="C484" s="99">
        <v>45850.0</v>
      </c>
      <c r="D484" s="81">
        <f t="shared" si="11"/>
        <v>0</v>
      </c>
      <c r="E484" s="94" t="s">
        <v>2167</v>
      </c>
      <c r="F484" s="83"/>
      <c r="G484" s="84"/>
      <c r="H484" s="86" t="s">
        <v>1165</v>
      </c>
      <c r="I484" s="86">
        <v>2.0</v>
      </c>
      <c r="J484" s="87" t="s">
        <v>1420</v>
      </c>
      <c r="K484" s="88">
        <v>45860.0</v>
      </c>
      <c r="L484" s="86" t="s">
        <v>2253</v>
      </c>
      <c r="M484" s="92" t="s">
        <v>2254</v>
      </c>
      <c r="N484" s="89" t="s">
        <v>2255</v>
      </c>
      <c r="O484" s="90"/>
      <c r="P484" s="89">
        <v>143974.0</v>
      </c>
      <c r="Q484" s="89" t="s">
        <v>1846</v>
      </c>
      <c r="R484" s="89" t="s">
        <v>1847</v>
      </c>
      <c r="S484" s="89">
        <v>3500.0</v>
      </c>
      <c r="T484" s="90"/>
      <c r="U484" s="89" t="s">
        <v>2256</v>
      </c>
      <c r="V484" s="89" t="s">
        <v>2257</v>
      </c>
      <c r="W484" s="83"/>
      <c r="X484" s="89" t="s">
        <v>1023</v>
      </c>
      <c r="Y484" s="89" t="s">
        <v>48</v>
      </c>
      <c r="Z484" s="89" t="s">
        <v>49</v>
      </c>
      <c r="AA484" s="89" t="s">
        <v>1860</v>
      </c>
      <c r="AB484" s="89" t="s">
        <v>1812</v>
      </c>
      <c r="AC484" s="83"/>
      <c r="AD484" s="83"/>
      <c r="AE484" s="83"/>
      <c r="AF484" s="83"/>
      <c r="AG484" s="83"/>
      <c r="AH484" s="91"/>
      <c r="AI484" s="91"/>
      <c r="AJ484" s="91"/>
      <c r="AK484" s="91"/>
    </row>
    <row r="485" hidden="1">
      <c r="A485" s="91"/>
      <c r="B485" s="98">
        <v>45782.0</v>
      </c>
      <c r="C485" s="80">
        <v>45857.0</v>
      </c>
      <c r="D485" s="81">
        <f t="shared" si="11"/>
        <v>0</v>
      </c>
      <c r="E485" s="94" t="s">
        <v>2167</v>
      </c>
      <c r="F485" s="83"/>
      <c r="G485" s="84"/>
      <c r="H485" s="113" t="s">
        <v>1165</v>
      </c>
      <c r="I485" s="86">
        <v>8.0</v>
      </c>
      <c r="J485" s="87" t="s">
        <v>1420</v>
      </c>
      <c r="K485" s="88">
        <v>45868.0</v>
      </c>
      <c r="L485" s="86" t="s">
        <v>988</v>
      </c>
      <c r="M485" s="92" t="s">
        <v>2198</v>
      </c>
      <c r="N485" s="89" t="s">
        <v>2258</v>
      </c>
      <c r="O485" s="89" t="s">
        <v>2200</v>
      </c>
      <c r="P485" s="89">
        <v>149676.0</v>
      </c>
      <c r="Q485" s="89" t="s">
        <v>67</v>
      </c>
      <c r="R485" s="89" t="s">
        <v>116</v>
      </c>
      <c r="S485" s="89">
        <v>1750.0</v>
      </c>
      <c r="T485" s="89"/>
      <c r="U485" s="89" t="s">
        <v>2259</v>
      </c>
      <c r="V485" s="89" t="s">
        <v>2260</v>
      </c>
      <c r="W485" s="83"/>
      <c r="X485" s="89" t="s">
        <v>1023</v>
      </c>
      <c r="Y485" s="89" t="s">
        <v>120</v>
      </c>
      <c r="Z485" s="89" t="s">
        <v>49</v>
      </c>
      <c r="AA485" s="89" t="s">
        <v>72</v>
      </c>
      <c r="AB485" s="89" t="s">
        <v>2203</v>
      </c>
      <c r="AC485" s="83"/>
      <c r="AD485" s="83"/>
      <c r="AE485" s="83"/>
      <c r="AF485" s="83"/>
      <c r="AG485" s="83"/>
      <c r="AH485" s="91"/>
      <c r="AI485" s="91"/>
      <c r="AJ485" s="91"/>
      <c r="AK485" s="91"/>
    </row>
    <row r="486" hidden="1">
      <c r="A486" s="91"/>
      <c r="B486" s="98">
        <v>45782.0</v>
      </c>
      <c r="C486" s="80">
        <v>45857.0</v>
      </c>
      <c r="D486" s="81">
        <f t="shared" si="11"/>
        <v>0</v>
      </c>
      <c r="E486" s="94" t="s">
        <v>2167</v>
      </c>
      <c r="F486" s="83"/>
      <c r="G486" s="84"/>
      <c r="H486" s="113" t="s">
        <v>1165</v>
      </c>
      <c r="I486" s="86">
        <v>8.0</v>
      </c>
      <c r="J486" s="87" t="s">
        <v>1420</v>
      </c>
      <c r="K486" s="88">
        <v>45872.0</v>
      </c>
      <c r="L486" s="86" t="s">
        <v>988</v>
      </c>
      <c r="M486" s="92" t="s">
        <v>2198</v>
      </c>
      <c r="N486" s="89" t="s">
        <v>2261</v>
      </c>
      <c r="O486" s="89" t="s">
        <v>2200</v>
      </c>
      <c r="P486" s="89">
        <v>149723.0</v>
      </c>
      <c r="Q486" s="89" t="s">
        <v>67</v>
      </c>
      <c r="R486" s="89" t="s">
        <v>116</v>
      </c>
      <c r="S486" s="89">
        <v>1750.0</v>
      </c>
      <c r="T486" s="89"/>
      <c r="U486" s="89" t="s">
        <v>2262</v>
      </c>
      <c r="V486" s="89" t="s">
        <v>2263</v>
      </c>
      <c r="W486" s="83"/>
      <c r="X486" s="89" t="s">
        <v>1023</v>
      </c>
      <c r="Y486" s="89" t="s">
        <v>120</v>
      </c>
      <c r="Z486" s="89" t="s">
        <v>49</v>
      </c>
      <c r="AA486" s="89" t="s">
        <v>72</v>
      </c>
      <c r="AB486" s="89" t="s">
        <v>2203</v>
      </c>
      <c r="AC486" s="83"/>
      <c r="AD486" s="83"/>
      <c r="AE486" s="83"/>
      <c r="AF486" s="83"/>
      <c r="AG486" s="83"/>
      <c r="AH486" s="91"/>
      <c r="AI486" s="91"/>
      <c r="AJ486" s="91"/>
      <c r="AK486" s="91"/>
    </row>
    <row r="487" hidden="1">
      <c r="A487" s="91"/>
      <c r="B487" s="98">
        <v>45782.0</v>
      </c>
      <c r="C487" s="80">
        <v>45857.0</v>
      </c>
      <c r="D487" s="81">
        <f t="shared" si="11"/>
        <v>0</v>
      </c>
      <c r="E487" s="94" t="s">
        <v>2167</v>
      </c>
      <c r="F487" s="83"/>
      <c r="G487" s="84"/>
      <c r="H487" s="113" t="s">
        <v>1165</v>
      </c>
      <c r="I487" s="86">
        <v>9.0</v>
      </c>
      <c r="J487" s="87" t="s">
        <v>1420</v>
      </c>
      <c r="K487" s="88">
        <v>45869.0</v>
      </c>
      <c r="L487" s="86" t="s">
        <v>988</v>
      </c>
      <c r="M487" s="92" t="s">
        <v>2198</v>
      </c>
      <c r="N487" s="89" t="s">
        <v>2264</v>
      </c>
      <c r="O487" s="89" t="s">
        <v>2200</v>
      </c>
      <c r="P487" s="89">
        <v>149741.0</v>
      </c>
      <c r="Q487" s="89" t="s">
        <v>67</v>
      </c>
      <c r="R487" s="89" t="s">
        <v>116</v>
      </c>
      <c r="S487" s="89">
        <v>1750.0</v>
      </c>
      <c r="T487" s="89"/>
      <c r="U487" s="89" t="s">
        <v>2265</v>
      </c>
      <c r="V487" s="89" t="s">
        <v>2266</v>
      </c>
      <c r="W487" s="83"/>
      <c r="X487" s="89" t="s">
        <v>1023</v>
      </c>
      <c r="Y487" s="89" t="s">
        <v>120</v>
      </c>
      <c r="Z487" s="89" t="s">
        <v>49</v>
      </c>
      <c r="AA487" s="89" t="s">
        <v>72</v>
      </c>
      <c r="AB487" s="89" t="s">
        <v>2203</v>
      </c>
      <c r="AC487" s="83"/>
      <c r="AD487" s="83"/>
      <c r="AE487" s="83"/>
      <c r="AF487" s="83"/>
      <c r="AG487" s="83"/>
      <c r="AH487" s="91"/>
      <c r="AI487" s="91"/>
      <c r="AJ487" s="91"/>
      <c r="AK487" s="91"/>
    </row>
    <row r="488" hidden="1">
      <c r="A488" s="115"/>
      <c r="B488" s="116">
        <v>45812.0</v>
      </c>
      <c r="C488" s="117">
        <v>45858.0</v>
      </c>
      <c r="D488" s="118">
        <f t="shared" si="11"/>
        <v>0</v>
      </c>
      <c r="E488" s="119" t="s">
        <v>2167</v>
      </c>
      <c r="F488" s="120" t="s">
        <v>165</v>
      </c>
      <c r="G488" s="121"/>
      <c r="H488" s="119" t="s">
        <v>1165</v>
      </c>
      <c r="I488" s="122">
        <v>1.0</v>
      </c>
      <c r="J488" s="123" t="s">
        <v>2051</v>
      </c>
      <c r="K488" s="124">
        <v>45867.0</v>
      </c>
      <c r="L488" s="122" t="s">
        <v>2010</v>
      </c>
      <c r="M488" s="125" t="s">
        <v>2267</v>
      </c>
      <c r="N488" s="120">
        <v>2.025000002327E12</v>
      </c>
      <c r="O488" s="120" t="s">
        <v>2268</v>
      </c>
      <c r="P488" s="120">
        <v>372199.0</v>
      </c>
      <c r="Q488" s="120" t="s">
        <v>2269</v>
      </c>
      <c r="R488" s="120" t="s">
        <v>2014</v>
      </c>
      <c r="S488" s="120">
        <v>7148.0</v>
      </c>
      <c r="T488" s="126"/>
      <c r="U488" s="120" t="s">
        <v>2270</v>
      </c>
      <c r="V488" s="120" t="s">
        <v>2271</v>
      </c>
      <c r="W488" s="127"/>
      <c r="X488" s="120" t="s">
        <v>1023</v>
      </c>
      <c r="Y488" s="120" t="s">
        <v>48</v>
      </c>
      <c r="Z488" s="120" t="s">
        <v>102</v>
      </c>
      <c r="AA488" s="120" t="s">
        <v>72</v>
      </c>
      <c r="AB488" s="120" t="s">
        <v>165</v>
      </c>
      <c r="AC488" s="120" t="s">
        <v>2272</v>
      </c>
      <c r="AD488" s="120" t="s">
        <v>2273</v>
      </c>
      <c r="AE488" s="120">
        <v>6825.53</v>
      </c>
      <c r="AF488" s="127"/>
      <c r="AG488" s="127"/>
      <c r="AH488" s="115"/>
      <c r="AI488" s="115"/>
      <c r="AJ488" s="115"/>
      <c r="AK488" s="115"/>
    </row>
    <row r="489" hidden="1">
      <c r="A489" s="115"/>
      <c r="B489" s="116">
        <v>45812.0</v>
      </c>
      <c r="C489" s="117">
        <v>45858.0</v>
      </c>
      <c r="D489" s="118">
        <f t="shared" si="11"/>
        <v>0</v>
      </c>
      <c r="E489" s="119" t="s">
        <v>2167</v>
      </c>
      <c r="F489" s="120" t="s">
        <v>165</v>
      </c>
      <c r="G489" s="121"/>
      <c r="H489" s="119" t="s">
        <v>1165</v>
      </c>
      <c r="I489" s="122">
        <v>1.0</v>
      </c>
      <c r="J489" s="123" t="s">
        <v>2051</v>
      </c>
      <c r="K489" s="124">
        <v>45867.0</v>
      </c>
      <c r="L489" s="122" t="s">
        <v>2010</v>
      </c>
      <c r="M489" s="125" t="s">
        <v>2274</v>
      </c>
      <c r="N489" s="120">
        <v>2.025000002328E12</v>
      </c>
      <c r="O489" s="120" t="s">
        <v>2268</v>
      </c>
      <c r="P489" s="120">
        <v>370203.0</v>
      </c>
      <c r="Q489" s="120" t="s">
        <v>2269</v>
      </c>
      <c r="R489" s="120" t="s">
        <v>2014</v>
      </c>
      <c r="S489" s="120">
        <v>7148.0</v>
      </c>
      <c r="T489" s="126"/>
      <c r="U489" s="120" t="s">
        <v>2275</v>
      </c>
      <c r="V489" s="120" t="s">
        <v>2276</v>
      </c>
      <c r="W489" s="127"/>
      <c r="X489" s="120" t="s">
        <v>1023</v>
      </c>
      <c r="Y489" s="120" t="s">
        <v>48</v>
      </c>
      <c r="Z489" s="120" t="s">
        <v>102</v>
      </c>
      <c r="AA489" s="120" t="s">
        <v>72</v>
      </c>
      <c r="AB489" s="120" t="s">
        <v>165</v>
      </c>
      <c r="AC489" s="120" t="s">
        <v>2272</v>
      </c>
      <c r="AD489" s="120" t="s">
        <v>2277</v>
      </c>
      <c r="AE489" s="120">
        <v>6825.53</v>
      </c>
      <c r="AF489" s="127"/>
      <c r="AG489" s="127"/>
      <c r="AH489" s="115"/>
      <c r="AI489" s="115"/>
      <c r="AJ489" s="115"/>
      <c r="AK489" s="115"/>
    </row>
    <row r="490" hidden="1">
      <c r="A490" s="115"/>
      <c r="B490" s="116">
        <v>45812.0</v>
      </c>
      <c r="C490" s="117">
        <v>45858.0</v>
      </c>
      <c r="D490" s="118">
        <f t="shared" si="11"/>
        <v>0</v>
      </c>
      <c r="E490" s="119" t="s">
        <v>2167</v>
      </c>
      <c r="F490" s="120" t="s">
        <v>165</v>
      </c>
      <c r="G490" s="121"/>
      <c r="H490" s="119" t="s">
        <v>1165</v>
      </c>
      <c r="I490" s="122">
        <v>1.0</v>
      </c>
      <c r="J490" s="123" t="s">
        <v>2051</v>
      </c>
      <c r="K490" s="124">
        <v>45867.0</v>
      </c>
      <c r="L490" s="122" t="s">
        <v>2010</v>
      </c>
      <c r="M490" s="125" t="s">
        <v>2278</v>
      </c>
      <c r="N490" s="120">
        <v>2.025000002329E12</v>
      </c>
      <c r="O490" s="120" t="s">
        <v>2268</v>
      </c>
      <c r="P490" s="120">
        <v>370143.0</v>
      </c>
      <c r="Q490" s="120" t="s">
        <v>2269</v>
      </c>
      <c r="R490" s="120" t="s">
        <v>2014</v>
      </c>
      <c r="S490" s="120">
        <v>7148.0</v>
      </c>
      <c r="T490" s="126"/>
      <c r="U490" s="120" t="s">
        <v>2279</v>
      </c>
      <c r="V490" s="120" t="s">
        <v>2280</v>
      </c>
      <c r="W490" s="127"/>
      <c r="X490" s="120" t="s">
        <v>1023</v>
      </c>
      <c r="Y490" s="120" t="s">
        <v>48</v>
      </c>
      <c r="Z490" s="120" t="s">
        <v>102</v>
      </c>
      <c r="AA490" s="120" t="s">
        <v>72</v>
      </c>
      <c r="AB490" s="120" t="s">
        <v>165</v>
      </c>
      <c r="AC490" s="120" t="s">
        <v>2272</v>
      </c>
      <c r="AD490" s="120" t="s">
        <v>2281</v>
      </c>
      <c r="AE490" s="120">
        <v>6825.53</v>
      </c>
      <c r="AF490" s="127"/>
      <c r="AG490" s="127"/>
      <c r="AH490" s="115"/>
      <c r="AI490" s="115"/>
      <c r="AJ490" s="115"/>
      <c r="AK490" s="115"/>
    </row>
    <row r="491" hidden="1">
      <c r="A491" s="100"/>
      <c r="B491" s="128">
        <v>45843.0</v>
      </c>
      <c r="C491" s="128">
        <v>45858.0</v>
      </c>
      <c r="D491" s="102">
        <f t="shared" si="11"/>
        <v>0</v>
      </c>
      <c r="E491" s="129" t="s">
        <v>2120</v>
      </c>
      <c r="F491" s="103">
        <v>35950.0</v>
      </c>
      <c r="G491" s="130">
        <v>4350.0</v>
      </c>
      <c r="H491" s="106" t="s">
        <v>1915</v>
      </c>
      <c r="I491" s="107">
        <v>2.0</v>
      </c>
      <c r="J491" s="108" t="s">
        <v>2051</v>
      </c>
      <c r="K491" s="109">
        <v>45866.0</v>
      </c>
      <c r="L491" s="107" t="s">
        <v>2282</v>
      </c>
      <c r="M491" s="110" t="s">
        <v>2283</v>
      </c>
      <c r="N491" s="103" t="s">
        <v>2284</v>
      </c>
      <c r="O491" s="103" t="s">
        <v>2069</v>
      </c>
      <c r="P491" s="103">
        <v>374927.0</v>
      </c>
      <c r="Q491" s="103" t="s">
        <v>2053</v>
      </c>
      <c r="R491" s="103" t="s">
        <v>1608</v>
      </c>
      <c r="S491" s="103">
        <v>580.0</v>
      </c>
      <c r="T491" s="111"/>
      <c r="U491" s="103" t="s">
        <v>2285</v>
      </c>
      <c r="V491" s="103" t="s">
        <v>2286</v>
      </c>
      <c r="W491" s="104"/>
      <c r="X491" s="103" t="s">
        <v>1023</v>
      </c>
      <c r="Y491" s="103" t="s">
        <v>48</v>
      </c>
      <c r="Z491" s="103" t="s">
        <v>49</v>
      </c>
      <c r="AA491" s="103" t="s">
        <v>72</v>
      </c>
      <c r="AB491" s="103" t="s">
        <v>1410</v>
      </c>
      <c r="AC491" s="103" t="s">
        <v>2272</v>
      </c>
      <c r="AD491" s="103" t="s">
        <v>2287</v>
      </c>
      <c r="AE491" s="103">
        <v>7034.0</v>
      </c>
      <c r="AF491" s="104"/>
      <c r="AG491" s="104"/>
      <c r="AH491" s="100"/>
      <c r="AI491" s="100"/>
      <c r="AJ491" s="100"/>
      <c r="AK491" s="100"/>
    </row>
    <row r="492" hidden="1">
      <c r="A492" s="91"/>
      <c r="B492" s="99">
        <v>45836.0</v>
      </c>
      <c r="C492" s="99">
        <v>45861.0</v>
      </c>
      <c r="D492" s="81">
        <f t="shared" si="11"/>
        <v>0</v>
      </c>
      <c r="E492" s="89" t="s">
        <v>2167</v>
      </c>
      <c r="F492" s="89" t="s">
        <v>2288</v>
      </c>
      <c r="G492" s="82">
        <v>10904.0</v>
      </c>
      <c r="H492" s="94" t="s">
        <v>1165</v>
      </c>
      <c r="I492" s="86">
        <v>1.0</v>
      </c>
      <c r="J492" s="87" t="s">
        <v>1420</v>
      </c>
      <c r="K492" s="88">
        <v>45871.0</v>
      </c>
      <c r="L492" s="86" t="s">
        <v>53</v>
      </c>
      <c r="M492" s="92" t="s">
        <v>2289</v>
      </c>
      <c r="N492" s="89">
        <v>1104341.0</v>
      </c>
      <c r="O492" s="89" t="s">
        <v>2290</v>
      </c>
      <c r="P492" s="89">
        <v>149200.0</v>
      </c>
      <c r="Q492" s="89" t="s">
        <v>1846</v>
      </c>
      <c r="R492" s="89" t="s">
        <v>2291</v>
      </c>
      <c r="S492" s="89">
        <v>2900.0</v>
      </c>
      <c r="T492" s="90"/>
      <c r="U492" s="89" t="s">
        <v>2292</v>
      </c>
      <c r="V492" s="90"/>
      <c r="W492" s="83"/>
      <c r="X492" s="89" t="s">
        <v>1023</v>
      </c>
      <c r="Y492" s="89" t="s">
        <v>48</v>
      </c>
      <c r="Z492" s="89" t="s">
        <v>49</v>
      </c>
      <c r="AA492" s="89" t="s">
        <v>1860</v>
      </c>
      <c r="AB492" s="89" t="s">
        <v>1824</v>
      </c>
      <c r="AC492" s="89" t="s">
        <v>175</v>
      </c>
      <c r="AD492" s="89">
        <v>166154.0</v>
      </c>
      <c r="AE492" s="89">
        <v>3825.29</v>
      </c>
      <c r="AF492" s="83"/>
      <c r="AG492" s="83"/>
      <c r="AH492" s="91"/>
      <c r="AI492" s="91"/>
      <c r="AJ492" s="91"/>
      <c r="AK492" s="91"/>
    </row>
    <row r="493" hidden="1">
      <c r="A493" s="100"/>
      <c r="B493" s="128">
        <v>45843.0</v>
      </c>
      <c r="C493" s="128">
        <v>45861.0</v>
      </c>
      <c r="D493" s="102">
        <f t="shared" si="11"/>
        <v>0</v>
      </c>
      <c r="E493" s="103" t="s">
        <v>2167</v>
      </c>
      <c r="F493" s="103" t="s">
        <v>2293</v>
      </c>
      <c r="G493" s="130">
        <v>562.5</v>
      </c>
      <c r="H493" s="106" t="s">
        <v>1165</v>
      </c>
      <c r="I493" s="107" t="s">
        <v>1689</v>
      </c>
      <c r="J493" s="108" t="s">
        <v>2051</v>
      </c>
      <c r="K493" s="109">
        <v>45895.0</v>
      </c>
      <c r="L493" s="107" t="s">
        <v>53</v>
      </c>
      <c r="M493" s="110" t="s">
        <v>2294</v>
      </c>
      <c r="N493" s="103">
        <v>1105184.0</v>
      </c>
      <c r="O493" s="103" t="s">
        <v>2295</v>
      </c>
      <c r="P493" s="103">
        <v>178194.0</v>
      </c>
      <c r="Q493" s="103" t="s">
        <v>1846</v>
      </c>
      <c r="R493" s="103" t="s">
        <v>2296</v>
      </c>
      <c r="S493" s="103">
        <v>150.0</v>
      </c>
      <c r="T493" s="111"/>
      <c r="U493" s="111"/>
      <c r="V493" s="111"/>
      <c r="W493" s="104"/>
      <c r="X493" s="103" t="s">
        <v>1023</v>
      </c>
      <c r="Y493" s="103" t="s">
        <v>1663</v>
      </c>
      <c r="Z493" s="103" t="s">
        <v>49</v>
      </c>
      <c r="AA493" s="103" t="s">
        <v>72</v>
      </c>
      <c r="AB493" s="103" t="s">
        <v>1812</v>
      </c>
      <c r="AC493" s="103" t="s">
        <v>175</v>
      </c>
      <c r="AD493" s="103">
        <v>167984.0</v>
      </c>
      <c r="AE493" s="103">
        <v>6868.22</v>
      </c>
      <c r="AF493" s="104"/>
      <c r="AG493" s="104"/>
      <c r="AH493" s="100"/>
      <c r="AI493" s="100"/>
      <c r="AJ493" s="100"/>
      <c r="AK493" s="100"/>
    </row>
    <row r="494" hidden="1">
      <c r="A494" s="100"/>
      <c r="B494" s="128">
        <v>45827.0</v>
      </c>
      <c r="C494" s="128">
        <v>45862.0</v>
      </c>
      <c r="D494" s="102">
        <f t="shared" si="11"/>
        <v>0</v>
      </c>
      <c r="E494" s="106" t="s">
        <v>2167</v>
      </c>
      <c r="F494" s="104"/>
      <c r="G494" s="105"/>
      <c r="H494" s="106" t="s">
        <v>1165</v>
      </c>
      <c r="I494" s="107">
        <v>2.0</v>
      </c>
      <c r="J494" s="108" t="s">
        <v>2051</v>
      </c>
      <c r="K494" s="109">
        <v>45873.0</v>
      </c>
      <c r="L494" s="107" t="s">
        <v>1283</v>
      </c>
      <c r="M494" s="110" t="s">
        <v>2297</v>
      </c>
      <c r="N494" s="103" t="s">
        <v>2298</v>
      </c>
      <c r="O494" s="103" t="s">
        <v>2299</v>
      </c>
      <c r="P494" s="103">
        <v>382648.0</v>
      </c>
      <c r="Q494" s="103" t="s">
        <v>148</v>
      </c>
      <c r="R494" s="103" t="s">
        <v>2300</v>
      </c>
      <c r="S494" s="103" t="s">
        <v>2301</v>
      </c>
      <c r="T494" s="111"/>
      <c r="U494" s="103" t="s">
        <v>2302</v>
      </c>
      <c r="V494" s="103" t="s">
        <v>2303</v>
      </c>
      <c r="W494" s="104"/>
      <c r="X494" s="103" t="s">
        <v>1023</v>
      </c>
      <c r="Y494" s="103" t="s">
        <v>48</v>
      </c>
      <c r="Z494" s="103" t="s">
        <v>102</v>
      </c>
      <c r="AA494" s="103" t="s">
        <v>1860</v>
      </c>
      <c r="AB494" s="103" t="s">
        <v>294</v>
      </c>
      <c r="AC494" s="103" t="s">
        <v>2304</v>
      </c>
      <c r="AD494" s="103" t="s">
        <v>2305</v>
      </c>
      <c r="AE494" s="103">
        <v>13052.73</v>
      </c>
      <c r="AF494" s="104"/>
      <c r="AG494" s="104"/>
      <c r="AH494" s="100"/>
      <c r="AI494" s="100"/>
      <c r="AJ494" s="100"/>
      <c r="AK494" s="100"/>
    </row>
    <row r="495" hidden="1">
      <c r="A495" s="91"/>
      <c r="B495" s="99">
        <v>45838.0</v>
      </c>
      <c r="C495" s="99">
        <v>45865.0</v>
      </c>
      <c r="D495" s="81">
        <f t="shared" si="11"/>
        <v>0</v>
      </c>
      <c r="E495" s="89" t="s">
        <v>2120</v>
      </c>
      <c r="F495" s="89" t="s">
        <v>2306</v>
      </c>
      <c r="G495" s="82">
        <v>7120.0</v>
      </c>
      <c r="H495" s="94" t="s">
        <v>1915</v>
      </c>
      <c r="I495" s="86">
        <v>1.0</v>
      </c>
      <c r="J495" s="87" t="s">
        <v>2051</v>
      </c>
      <c r="K495" s="88">
        <v>45872.0</v>
      </c>
      <c r="L495" s="86" t="s">
        <v>590</v>
      </c>
      <c r="M495" s="92" t="s">
        <v>2307</v>
      </c>
      <c r="N495" s="89">
        <v>9.0007412E7</v>
      </c>
      <c r="O495" s="89" t="s">
        <v>2308</v>
      </c>
      <c r="P495" s="89">
        <v>393379.0</v>
      </c>
      <c r="Q495" s="89" t="s">
        <v>171</v>
      </c>
      <c r="R495" s="89" t="s">
        <v>2309</v>
      </c>
      <c r="S495" s="89">
        <v>1600.0</v>
      </c>
      <c r="T495" s="90"/>
      <c r="U495" s="89" t="s">
        <v>2310</v>
      </c>
      <c r="V495" s="89" t="s">
        <v>2311</v>
      </c>
      <c r="W495" s="83"/>
      <c r="X495" s="89" t="s">
        <v>1023</v>
      </c>
      <c r="Y495" s="89" t="s">
        <v>120</v>
      </c>
      <c r="Z495" s="89" t="s">
        <v>102</v>
      </c>
      <c r="AA495" s="89" t="s">
        <v>72</v>
      </c>
      <c r="AB495" s="89" t="s">
        <v>1812</v>
      </c>
      <c r="AC495" s="89" t="s">
        <v>2304</v>
      </c>
      <c r="AD495" s="89" t="s">
        <v>2312</v>
      </c>
      <c r="AE495" s="89">
        <v>3335.25</v>
      </c>
      <c r="AF495" s="83"/>
      <c r="AG495" s="83"/>
      <c r="AH495" s="91"/>
      <c r="AI495" s="91"/>
      <c r="AJ495" s="91"/>
      <c r="AK495" s="91"/>
    </row>
    <row r="496" hidden="1">
      <c r="A496" s="91"/>
      <c r="B496" s="99">
        <v>45834.0</v>
      </c>
      <c r="C496" s="99">
        <v>45869.0</v>
      </c>
      <c r="D496" s="81">
        <f t="shared" si="11"/>
        <v>0</v>
      </c>
      <c r="E496" s="89" t="s">
        <v>2167</v>
      </c>
      <c r="F496" s="89" t="s">
        <v>2313</v>
      </c>
      <c r="G496" s="82">
        <v>10716.0</v>
      </c>
      <c r="H496" s="94" t="s">
        <v>1165</v>
      </c>
      <c r="I496" s="86">
        <v>1.0</v>
      </c>
      <c r="J496" s="87" t="s">
        <v>1420</v>
      </c>
      <c r="K496" s="88">
        <v>45879.0</v>
      </c>
      <c r="L496" s="86" t="s">
        <v>53</v>
      </c>
      <c r="M496" s="92" t="s">
        <v>306</v>
      </c>
      <c r="N496" s="89">
        <v>1103934.0</v>
      </c>
      <c r="O496" s="89" t="s">
        <v>2314</v>
      </c>
      <c r="P496" s="89">
        <v>159084.0</v>
      </c>
      <c r="Q496" s="89" t="s">
        <v>1846</v>
      </c>
      <c r="R496" s="89" t="s">
        <v>1847</v>
      </c>
      <c r="S496" s="89">
        <v>2850.0</v>
      </c>
      <c r="T496" s="90"/>
      <c r="U496" s="89" t="s">
        <v>2315</v>
      </c>
      <c r="V496" s="89" t="s">
        <v>2316</v>
      </c>
      <c r="W496" s="83"/>
      <c r="X496" s="89" t="s">
        <v>1023</v>
      </c>
      <c r="Y496" s="89" t="s">
        <v>120</v>
      </c>
      <c r="Z496" s="89" t="s">
        <v>49</v>
      </c>
      <c r="AA496" s="89" t="s">
        <v>72</v>
      </c>
      <c r="AB496" s="89" t="s">
        <v>1824</v>
      </c>
      <c r="AC496" s="89" t="s">
        <v>175</v>
      </c>
      <c r="AD496" s="89" t="s">
        <v>2317</v>
      </c>
      <c r="AE496" s="89">
        <f>3319.2+34.5</f>
        <v>3353.7</v>
      </c>
      <c r="AF496" s="83"/>
      <c r="AG496" s="83"/>
      <c r="AH496" s="91"/>
      <c r="AI496" s="100"/>
      <c r="AJ496" s="100"/>
      <c r="AK496" s="100"/>
    </row>
    <row r="497" hidden="1">
      <c r="A497" s="100"/>
      <c r="B497" s="128">
        <v>45862.0</v>
      </c>
      <c r="C497" s="101">
        <v>45870.0</v>
      </c>
      <c r="D497" s="102">
        <f t="shared" si="11"/>
        <v>0</v>
      </c>
      <c r="E497" s="103" t="s">
        <v>2120</v>
      </c>
      <c r="F497" s="103" t="s">
        <v>2318</v>
      </c>
      <c r="G497" s="130">
        <v>23906.25</v>
      </c>
      <c r="H497" s="106" t="s">
        <v>1915</v>
      </c>
      <c r="I497" s="107">
        <v>5.0</v>
      </c>
      <c r="J497" s="108" t="s">
        <v>2051</v>
      </c>
      <c r="K497" s="109">
        <v>45883.0</v>
      </c>
      <c r="L497" s="107" t="s">
        <v>2024</v>
      </c>
      <c r="M497" s="110" t="s">
        <v>2150</v>
      </c>
      <c r="N497" s="103" t="s">
        <v>2319</v>
      </c>
      <c r="O497" s="103" t="s">
        <v>2152</v>
      </c>
      <c r="P497" s="103">
        <v>412173.0</v>
      </c>
      <c r="Q497" s="103" t="s">
        <v>477</v>
      </c>
      <c r="R497" s="103" t="s">
        <v>2153</v>
      </c>
      <c r="S497" s="103">
        <v>1275.0</v>
      </c>
      <c r="T497" s="111"/>
      <c r="U497" s="103" t="s">
        <v>2320</v>
      </c>
      <c r="V497" s="103">
        <v>3.100094981E9</v>
      </c>
      <c r="W497" s="104"/>
      <c r="X497" s="103" t="s">
        <v>1023</v>
      </c>
      <c r="Y497" s="103" t="s">
        <v>48</v>
      </c>
      <c r="Z497" s="103" t="s">
        <v>102</v>
      </c>
      <c r="AA497" s="103" t="s">
        <v>72</v>
      </c>
      <c r="AB497" s="103" t="s">
        <v>1812</v>
      </c>
      <c r="AC497" s="103" t="s">
        <v>2304</v>
      </c>
      <c r="AD497" s="103" t="s">
        <v>2321</v>
      </c>
      <c r="AE497" s="103">
        <v>17136.63</v>
      </c>
      <c r="AF497" s="104"/>
      <c r="AG497" s="104"/>
      <c r="AH497" s="100"/>
      <c r="AI497" s="100"/>
      <c r="AJ497" s="100"/>
      <c r="AK497" s="100"/>
    </row>
    <row r="498" hidden="1">
      <c r="A498" s="100"/>
      <c r="B498" s="128">
        <v>45862.0</v>
      </c>
      <c r="C498" s="101">
        <v>45870.0</v>
      </c>
      <c r="D498" s="102">
        <f t="shared" si="11"/>
        <v>0</v>
      </c>
      <c r="E498" s="103" t="s">
        <v>2120</v>
      </c>
      <c r="F498" s="103" t="s">
        <v>2322</v>
      </c>
      <c r="G498" s="130">
        <v>23906.25</v>
      </c>
      <c r="H498" s="106" t="s">
        <v>1915</v>
      </c>
      <c r="I498" s="107">
        <v>5.0</v>
      </c>
      <c r="J498" s="108" t="s">
        <v>2051</v>
      </c>
      <c r="K498" s="109">
        <v>45887.0</v>
      </c>
      <c r="L498" s="107" t="s">
        <v>2024</v>
      </c>
      <c r="M498" s="110" t="s">
        <v>2150</v>
      </c>
      <c r="N498" s="103" t="s">
        <v>2323</v>
      </c>
      <c r="O498" s="103" t="s">
        <v>2152</v>
      </c>
      <c r="P498" s="103">
        <v>411943.0</v>
      </c>
      <c r="Q498" s="103" t="s">
        <v>477</v>
      </c>
      <c r="R498" s="103" t="s">
        <v>2153</v>
      </c>
      <c r="S498" s="103">
        <v>1275.0</v>
      </c>
      <c r="T498" s="111"/>
      <c r="U498" s="103" t="s">
        <v>2324</v>
      </c>
      <c r="V498" s="103">
        <v>3.100095077E9</v>
      </c>
      <c r="W498" s="104"/>
      <c r="X498" s="103" t="s">
        <v>1023</v>
      </c>
      <c r="Y498" s="103" t="s">
        <v>48</v>
      </c>
      <c r="Z498" s="103" t="s">
        <v>102</v>
      </c>
      <c r="AA498" s="103" t="s">
        <v>72</v>
      </c>
      <c r="AB498" s="103" t="s">
        <v>1812</v>
      </c>
      <c r="AC498" s="103" t="s">
        <v>2304</v>
      </c>
      <c r="AD498" s="103" t="s">
        <v>2325</v>
      </c>
      <c r="AE498" s="103">
        <v>17101.63</v>
      </c>
      <c r="AF498" s="104"/>
      <c r="AG498" s="104"/>
      <c r="AH498" s="100"/>
      <c r="AI498" s="100"/>
      <c r="AJ498" s="100"/>
      <c r="AK498" s="100"/>
    </row>
    <row r="499" hidden="1">
      <c r="A499" s="100"/>
      <c r="B499" s="128">
        <v>45853.0</v>
      </c>
      <c r="C499" s="101">
        <v>45871.0</v>
      </c>
      <c r="D499" s="102">
        <f t="shared" si="11"/>
        <v>0</v>
      </c>
      <c r="E499" s="103" t="s">
        <v>2120</v>
      </c>
      <c r="F499" s="103">
        <v>36095.0</v>
      </c>
      <c r="G499" s="130">
        <v>4350.0</v>
      </c>
      <c r="H499" s="106" t="s">
        <v>1915</v>
      </c>
      <c r="I499" s="107">
        <v>2.0</v>
      </c>
      <c r="J499" s="108" t="s">
        <v>2051</v>
      </c>
      <c r="K499" s="109">
        <v>45875.0</v>
      </c>
      <c r="L499" s="107" t="s">
        <v>2282</v>
      </c>
      <c r="M499" s="110" t="s">
        <v>2326</v>
      </c>
      <c r="N499" s="103" t="s">
        <v>2327</v>
      </c>
      <c r="O499" s="103" t="s">
        <v>2069</v>
      </c>
      <c r="P499" s="103">
        <v>403593.0</v>
      </c>
      <c r="Q499" s="103" t="s">
        <v>2053</v>
      </c>
      <c r="R499" s="103" t="s">
        <v>1608</v>
      </c>
      <c r="S499" s="103">
        <v>580.0</v>
      </c>
      <c r="T499" s="111"/>
      <c r="U499" s="103" t="s">
        <v>2328</v>
      </c>
      <c r="V499" s="103" t="s">
        <v>2329</v>
      </c>
      <c r="W499" s="104"/>
      <c r="X499" s="103" t="s">
        <v>1023</v>
      </c>
      <c r="Y499" s="103" t="s">
        <v>48</v>
      </c>
      <c r="Z499" s="103" t="s">
        <v>49</v>
      </c>
      <c r="AA499" s="103" t="s">
        <v>72</v>
      </c>
      <c r="AB499" s="103" t="s">
        <v>1410</v>
      </c>
      <c r="AC499" s="103" t="s">
        <v>2304</v>
      </c>
      <c r="AD499" s="103" t="s">
        <v>2330</v>
      </c>
      <c r="AE499" s="103">
        <v>7043.0</v>
      </c>
      <c r="AF499" s="104"/>
      <c r="AG499" s="104"/>
      <c r="AH499" s="100"/>
      <c r="AI499" s="100"/>
      <c r="AJ499" s="100"/>
      <c r="AK499" s="100"/>
    </row>
    <row r="500" hidden="1">
      <c r="A500" s="91"/>
      <c r="B500" s="99">
        <v>45848.0</v>
      </c>
      <c r="C500" s="80">
        <v>45872.0</v>
      </c>
      <c r="D500" s="81">
        <f t="shared" si="11"/>
        <v>0</v>
      </c>
      <c r="E500" s="89" t="s">
        <v>2167</v>
      </c>
      <c r="F500" s="89">
        <v>35874.0</v>
      </c>
      <c r="G500" s="82">
        <v>9825.0</v>
      </c>
      <c r="H500" s="94" t="s">
        <v>1165</v>
      </c>
      <c r="I500" s="86">
        <v>1.0</v>
      </c>
      <c r="J500" s="87" t="s">
        <v>2051</v>
      </c>
      <c r="K500" s="88">
        <v>45878.0</v>
      </c>
      <c r="L500" s="86" t="s">
        <v>53</v>
      </c>
      <c r="M500" s="92" t="s">
        <v>2331</v>
      </c>
      <c r="N500" s="89">
        <v>1104755.0</v>
      </c>
      <c r="O500" s="89" t="s">
        <v>2332</v>
      </c>
      <c r="P500" s="89">
        <v>398378.0</v>
      </c>
      <c r="Q500" s="89" t="s">
        <v>2333</v>
      </c>
      <c r="R500" s="89" t="s">
        <v>2334</v>
      </c>
      <c r="S500" s="89">
        <v>2620.0</v>
      </c>
      <c r="T500" s="90"/>
      <c r="U500" s="90"/>
      <c r="V500" s="90"/>
      <c r="W500" s="83"/>
      <c r="X500" s="89" t="s">
        <v>1023</v>
      </c>
      <c r="Y500" s="89" t="s">
        <v>48</v>
      </c>
      <c r="Z500" s="89" t="s">
        <v>102</v>
      </c>
      <c r="AA500" s="89" t="s">
        <v>72</v>
      </c>
      <c r="AB500" s="89" t="s">
        <v>1410</v>
      </c>
      <c r="AC500" s="89" t="s">
        <v>2304</v>
      </c>
      <c r="AD500" s="89" t="s">
        <v>2335</v>
      </c>
      <c r="AE500" s="89">
        <v>6572.53</v>
      </c>
      <c r="AF500" s="83"/>
      <c r="AG500" s="83"/>
      <c r="AH500" s="91"/>
      <c r="AI500" s="91"/>
      <c r="AJ500" s="91"/>
      <c r="AK500" s="91"/>
    </row>
    <row r="501" hidden="1">
      <c r="A501" s="100"/>
      <c r="B501" s="128">
        <v>45858.0</v>
      </c>
      <c r="C501" s="101">
        <v>45875.0</v>
      </c>
      <c r="D501" s="102">
        <f t="shared" si="11"/>
        <v>0</v>
      </c>
      <c r="E501" s="103" t="s">
        <v>2120</v>
      </c>
      <c r="F501" s="104"/>
      <c r="G501" s="105"/>
      <c r="H501" s="106" t="s">
        <v>1915</v>
      </c>
      <c r="I501" s="107">
        <v>2.0</v>
      </c>
      <c r="J501" s="108" t="s">
        <v>2051</v>
      </c>
      <c r="K501" s="109">
        <v>45880.0</v>
      </c>
      <c r="L501" s="107" t="s">
        <v>503</v>
      </c>
      <c r="M501" s="110" t="s">
        <v>552</v>
      </c>
      <c r="N501" s="103" t="s">
        <v>2336</v>
      </c>
      <c r="O501" s="103" t="s">
        <v>2337</v>
      </c>
      <c r="P501" s="103">
        <v>411013.0</v>
      </c>
      <c r="Q501" s="103" t="s">
        <v>171</v>
      </c>
      <c r="R501" s="103" t="s">
        <v>2338</v>
      </c>
      <c r="S501" s="103" t="s">
        <v>2339</v>
      </c>
      <c r="T501" s="111"/>
      <c r="U501" s="103" t="s">
        <v>2340</v>
      </c>
      <c r="V501" s="103" t="s">
        <v>2341</v>
      </c>
      <c r="W501" s="104"/>
      <c r="X501" s="103" t="s">
        <v>1023</v>
      </c>
      <c r="Y501" s="103" t="s">
        <v>48</v>
      </c>
      <c r="Z501" s="103" t="s">
        <v>102</v>
      </c>
      <c r="AA501" s="103" t="s">
        <v>72</v>
      </c>
      <c r="AB501" s="103" t="s">
        <v>165</v>
      </c>
      <c r="AC501" s="103" t="s">
        <v>2304</v>
      </c>
      <c r="AD501" s="103" t="s">
        <v>2342</v>
      </c>
      <c r="AE501" s="103">
        <v>7043.0</v>
      </c>
      <c r="AF501" s="104"/>
      <c r="AG501" s="104"/>
      <c r="AH501" s="100"/>
      <c r="AI501" s="100"/>
      <c r="AJ501" s="100"/>
      <c r="AK501" s="100"/>
    </row>
    <row r="502" hidden="1">
      <c r="A502" s="100"/>
      <c r="B502" s="128">
        <v>45847.0</v>
      </c>
      <c r="C502" s="101">
        <v>45875.0</v>
      </c>
      <c r="D502" s="102">
        <f t="shared" si="11"/>
        <v>0</v>
      </c>
      <c r="E502" s="103" t="s">
        <v>2343</v>
      </c>
      <c r="F502" s="104"/>
      <c r="G502" s="105"/>
      <c r="H502" s="106" t="s">
        <v>1915</v>
      </c>
      <c r="I502" s="107">
        <v>1.0</v>
      </c>
      <c r="J502" s="108" t="s">
        <v>2051</v>
      </c>
      <c r="K502" s="109">
        <v>45889.0</v>
      </c>
      <c r="L502" s="107" t="s">
        <v>2344</v>
      </c>
      <c r="M502" s="110" t="s">
        <v>2345</v>
      </c>
      <c r="N502" s="103">
        <v>3383.0</v>
      </c>
      <c r="O502" s="111"/>
      <c r="P502" s="103">
        <v>441188.0</v>
      </c>
      <c r="Q502" s="103" t="s">
        <v>2346</v>
      </c>
      <c r="R502" s="103" t="s">
        <v>2347</v>
      </c>
      <c r="S502" s="111"/>
      <c r="T502" s="111"/>
      <c r="U502" s="103" t="s">
        <v>2348</v>
      </c>
      <c r="V502" s="103">
        <v>2923224.0</v>
      </c>
      <c r="W502" s="104"/>
      <c r="X502" s="103" t="s">
        <v>1023</v>
      </c>
      <c r="Y502" s="103" t="s">
        <v>48</v>
      </c>
      <c r="Z502" s="103" t="s">
        <v>524</v>
      </c>
      <c r="AA502" s="103" t="s">
        <v>72</v>
      </c>
      <c r="AB502" s="103" t="s">
        <v>165</v>
      </c>
      <c r="AC502" s="103" t="s">
        <v>2304</v>
      </c>
      <c r="AD502" s="103" t="s">
        <v>2349</v>
      </c>
      <c r="AE502" s="103">
        <v>5746.75</v>
      </c>
      <c r="AF502" s="104"/>
      <c r="AG502" s="104"/>
      <c r="AH502" s="100"/>
      <c r="AI502" s="100"/>
      <c r="AJ502" s="100"/>
      <c r="AK502" s="100"/>
    </row>
    <row r="503" hidden="1">
      <c r="A503" s="100"/>
      <c r="B503" s="128">
        <v>45864.0</v>
      </c>
      <c r="C503" s="101">
        <v>45880.0</v>
      </c>
      <c r="D503" s="102">
        <f t="shared" si="11"/>
        <v>0</v>
      </c>
      <c r="E503" s="103" t="s">
        <v>2343</v>
      </c>
      <c r="F503" s="103" t="s">
        <v>2350</v>
      </c>
      <c r="G503" s="130">
        <v>23906.25</v>
      </c>
      <c r="H503" s="106" t="s">
        <v>1915</v>
      </c>
      <c r="I503" s="107">
        <v>5.0</v>
      </c>
      <c r="J503" s="108" t="s">
        <v>2051</v>
      </c>
      <c r="K503" s="109">
        <v>45894.0</v>
      </c>
      <c r="L503" s="107" t="s">
        <v>2024</v>
      </c>
      <c r="M503" s="110" t="s">
        <v>2150</v>
      </c>
      <c r="N503" s="103" t="s">
        <v>2351</v>
      </c>
      <c r="O503" s="103" t="s">
        <v>2152</v>
      </c>
      <c r="P503" s="103">
        <v>431206.0</v>
      </c>
      <c r="Q503" s="103" t="s">
        <v>477</v>
      </c>
      <c r="R503" s="103" t="s">
        <v>559</v>
      </c>
      <c r="S503" s="103">
        <v>1275.0</v>
      </c>
      <c r="T503" s="111"/>
      <c r="U503" s="103" t="s">
        <v>2352</v>
      </c>
      <c r="V503" s="103">
        <v>3.100097125E9</v>
      </c>
      <c r="W503" s="104"/>
      <c r="X503" s="103" t="s">
        <v>1023</v>
      </c>
      <c r="Y503" s="103" t="s">
        <v>48</v>
      </c>
      <c r="Z503" s="103" t="s">
        <v>102</v>
      </c>
      <c r="AA503" s="103" t="s">
        <v>72</v>
      </c>
      <c r="AB503" s="103" t="s">
        <v>1812</v>
      </c>
      <c r="AC503" s="103" t="s">
        <v>2304</v>
      </c>
      <c r="AD503" s="103" t="s">
        <v>2353</v>
      </c>
      <c r="AE503" s="103">
        <v>17153.13</v>
      </c>
      <c r="AF503" s="104"/>
      <c r="AG503" s="104"/>
      <c r="AH503" s="100"/>
      <c r="AI503" s="100"/>
      <c r="AJ503" s="100"/>
      <c r="AK503" s="100"/>
    </row>
    <row r="504" hidden="1">
      <c r="A504" s="100"/>
      <c r="B504" s="128">
        <v>45864.0</v>
      </c>
      <c r="C504" s="101">
        <v>45880.0</v>
      </c>
      <c r="D504" s="102">
        <f t="shared" si="11"/>
        <v>0</v>
      </c>
      <c r="E504" s="103" t="s">
        <v>2343</v>
      </c>
      <c r="F504" s="103" t="s">
        <v>2354</v>
      </c>
      <c r="G504" s="130">
        <v>23906.25</v>
      </c>
      <c r="H504" s="106" t="s">
        <v>1915</v>
      </c>
      <c r="I504" s="107">
        <v>5.0</v>
      </c>
      <c r="J504" s="108" t="s">
        <v>2051</v>
      </c>
      <c r="K504" s="109">
        <v>45914.0</v>
      </c>
      <c r="L504" s="107" t="s">
        <v>2024</v>
      </c>
      <c r="M504" s="110" t="s">
        <v>2150</v>
      </c>
      <c r="N504" s="103" t="s">
        <v>2355</v>
      </c>
      <c r="O504" s="103" t="s">
        <v>2152</v>
      </c>
      <c r="P504" s="103">
        <v>430981.0</v>
      </c>
      <c r="Q504" s="103" t="s">
        <v>477</v>
      </c>
      <c r="R504" s="103" t="s">
        <v>559</v>
      </c>
      <c r="S504" s="103">
        <v>1275.0</v>
      </c>
      <c r="T504" s="111"/>
      <c r="U504" s="103" t="s">
        <v>2356</v>
      </c>
      <c r="V504" s="103">
        <v>3.100098662E9</v>
      </c>
      <c r="W504" s="104"/>
      <c r="X504" s="103" t="s">
        <v>1023</v>
      </c>
      <c r="Y504" s="103" t="s">
        <v>48</v>
      </c>
      <c r="Z504" s="103" t="s">
        <v>102</v>
      </c>
      <c r="AA504" s="103" t="s">
        <v>72</v>
      </c>
      <c r="AB504" s="103" t="s">
        <v>1812</v>
      </c>
      <c r="AC504" s="103" t="s">
        <v>2304</v>
      </c>
      <c r="AD504" s="103" t="s">
        <v>2357</v>
      </c>
      <c r="AE504" s="103">
        <v>34685.78</v>
      </c>
      <c r="AF504" s="104"/>
      <c r="AG504" s="104"/>
      <c r="AH504" s="100"/>
      <c r="AI504" s="100"/>
      <c r="AJ504" s="100"/>
      <c r="AK504" s="100"/>
    </row>
    <row r="505" hidden="1">
      <c r="A505" s="100"/>
      <c r="B505" s="128">
        <v>45853.0</v>
      </c>
      <c r="C505" s="101">
        <v>45882.0</v>
      </c>
      <c r="D505" s="102">
        <f t="shared" si="11"/>
        <v>0</v>
      </c>
      <c r="E505" s="103" t="s">
        <v>2167</v>
      </c>
      <c r="F505" s="103" t="s">
        <v>2358</v>
      </c>
      <c r="G505" s="130">
        <v>8625.0</v>
      </c>
      <c r="H505" s="106" t="s">
        <v>1165</v>
      </c>
      <c r="I505" s="107">
        <v>1.0</v>
      </c>
      <c r="J505" s="108" t="s">
        <v>1420</v>
      </c>
      <c r="K505" s="109">
        <v>45890.0</v>
      </c>
      <c r="L505" s="107" t="s">
        <v>168</v>
      </c>
      <c r="M505" s="110" t="s">
        <v>1341</v>
      </c>
      <c r="N505" s="103">
        <v>5250301.0</v>
      </c>
      <c r="O505" s="103" t="s">
        <v>2359</v>
      </c>
      <c r="P505" s="103">
        <v>170301.0</v>
      </c>
      <c r="Q505" s="103" t="s">
        <v>1846</v>
      </c>
      <c r="R505" s="103" t="s">
        <v>111</v>
      </c>
      <c r="S505" s="103">
        <v>2300.0</v>
      </c>
      <c r="T505" s="111"/>
      <c r="U505" s="103" t="s">
        <v>2360</v>
      </c>
      <c r="V505" s="103">
        <v>1.40501536783E11</v>
      </c>
      <c r="W505" s="104"/>
      <c r="X505" s="103" t="s">
        <v>1023</v>
      </c>
      <c r="Y505" s="103" t="s">
        <v>120</v>
      </c>
      <c r="Z505" s="103" t="s">
        <v>49</v>
      </c>
      <c r="AA505" s="103" t="s">
        <v>72</v>
      </c>
      <c r="AB505" s="103" t="s">
        <v>687</v>
      </c>
      <c r="AC505" s="103" t="s">
        <v>2361</v>
      </c>
      <c r="AD505" s="103" t="s">
        <v>2362</v>
      </c>
      <c r="AE505" s="103">
        <f>3348.55+34.5</f>
        <v>3383.05</v>
      </c>
      <c r="AF505" s="104"/>
      <c r="AG505" s="104"/>
      <c r="AH505" s="100"/>
      <c r="AI505" s="100"/>
      <c r="AJ505" s="100"/>
      <c r="AK505" s="100"/>
    </row>
    <row r="506" hidden="1">
      <c r="A506" s="100"/>
      <c r="B506" s="128">
        <v>45865.0</v>
      </c>
      <c r="C506" s="131">
        <v>45882.0</v>
      </c>
      <c r="D506" s="102">
        <f t="shared" si="11"/>
        <v>0</v>
      </c>
      <c r="E506" s="103" t="s">
        <v>2343</v>
      </c>
      <c r="F506" s="103" t="s">
        <v>2363</v>
      </c>
      <c r="G506" s="130">
        <v>7896.0</v>
      </c>
      <c r="H506" s="106" t="s">
        <v>1915</v>
      </c>
      <c r="I506" s="107">
        <v>1.0</v>
      </c>
      <c r="J506" s="108" t="s">
        <v>2051</v>
      </c>
      <c r="K506" s="109">
        <v>45889.0</v>
      </c>
      <c r="L506" s="107" t="s">
        <v>1475</v>
      </c>
      <c r="M506" s="110" t="s">
        <v>2364</v>
      </c>
      <c r="N506" s="103" t="s">
        <v>2365</v>
      </c>
      <c r="O506" s="103" t="s">
        <v>2366</v>
      </c>
      <c r="P506" s="103">
        <v>431903.0</v>
      </c>
      <c r="Q506" s="103" t="s">
        <v>1280</v>
      </c>
      <c r="R506" s="103" t="s">
        <v>2367</v>
      </c>
      <c r="S506" s="103">
        <v>2100.0</v>
      </c>
      <c r="T506" s="111"/>
      <c r="U506" s="103" t="s">
        <v>2368</v>
      </c>
      <c r="V506" s="103" t="s">
        <v>2369</v>
      </c>
      <c r="W506" s="104"/>
      <c r="X506" s="103" t="s">
        <v>1023</v>
      </c>
      <c r="Y506" s="103" t="s">
        <v>48</v>
      </c>
      <c r="Z506" s="103" t="s">
        <v>102</v>
      </c>
      <c r="AA506" s="103" t="s">
        <v>72</v>
      </c>
      <c r="AB506" s="103" t="s">
        <v>1824</v>
      </c>
      <c r="AC506" s="103" t="s">
        <v>2304</v>
      </c>
      <c r="AD506" s="103" t="s">
        <v>2370</v>
      </c>
      <c r="AE506" s="103">
        <v>3820.75</v>
      </c>
      <c r="AF506" s="104"/>
      <c r="AG506" s="104"/>
      <c r="AH506" s="100"/>
      <c r="AI506" s="100"/>
      <c r="AJ506" s="100"/>
      <c r="AK506" s="100"/>
    </row>
    <row r="507" hidden="1">
      <c r="A507" s="100"/>
      <c r="B507" s="128">
        <v>45832.0</v>
      </c>
      <c r="C507" s="128">
        <v>45883.0</v>
      </c>
      <c r="D507" s="102">
        <f t="shared" si="11"/>
        <v>0</v>
      </c>
      <c r="E507" s="103" t="s">
        <v>2120</v>
      </c>
      <c r="F507" s="103" t="s">
        <v>2371</v>
      </c>
      <c r="G507" s="130">
        <v>44500.0</v>
      </c>
      <c r="H507" s="106" t="s">
        <v>1915</v>
      </c>
      <c r="I507" s="107">
        <v>4.0</v>
      </c>
      <c r="J507" s="108" t="s">
        <v>2051</v>
      </c>
      <c r="K507" s="109">
        <v>45909.0</v>
      </c>
      <c r="L507" s="107" t="s">
        <v>270</v>
      </c>
      <c r="M507" s="110" t="s">
        <v>2372</v>
      </c>
      <c r="N507" s="103" t="s">
        <v>2373</v>
      </c>
      <c r="O507" s="103" t="s">
        <v>2374</v>
      </c>
      <c r="P507" s="103">
        <v>441169.0</v>
      </c>
      <c r="Q507" s="103" t="s">
        <v>1280</v>
      </c>
      <c r="R507" s="103" t="s">
        <v>275</v>
      </c>
      <c r="S507" s="103">
        <v>2500.0</v>
      </c>
      <c r="T507" s="111"/>
      <c r="U507" s="103" t="s">
        <v>2375</v>
      </c>
      <c r="V507" s="103" t="s">
        <v>2376</v>
      </c>
      <c r="W507" s="104"/>
      <c r="X507" s="103" t="s">
        <v>47</v>
      </c>
      <c r="Y507" s="103" t="s">
        <v>48</v>
      </c>
      <c r="Z507" s="103" t="s">
        <v>102</v>
      </c>
      <c r="AA507" s="103" t="s">
        <v>970</v>
      </c>
      <c r="AB507" s="103" t="s">
        <v>1812</v>
      </c>
      <c r="AC507" s="103" t="s">
        <v>2304</v>
      </c>
      <c r="AD507" s="103" t="s">
        <v>2377</v>
      </c>
      <c r="AE507" s="103">
        <v>19754.2</v>
      </c>
      <c r="AF507" s="104"/>
      <c r="AG507" s="104"/>
      <c r="AH507" s="100"/>
      <c r="AI507" s="100"/>
      <c r="AJ507" s="100"/>
      <c r="AK507" s="100"/>
    </row>
    <row r="508" hidden="1">
      <c r="A508" s="100"/>
      <c r="B508" s="128">
        <v>45847.0</v>
      </c>
      <c r="C508" s="101">
        <v>45883.0</v>
      </c>
      <c r="D508" s="102">
        <f t="shared" si="11"/>
        <v>0</v>
      </c>
      <c r="E508" s="103" t="s">
        <v>2343</v>
      </c>
      <c r="F508" s="103" t="s">
        <v>2378</v>
      </c>
      <c r="G508" s="130">
        <v>23051.0</v>
      </c>
      <c r="H508" s="106" t="s">
        <v>1915</v>
      </c>
      <c r="I508" s="107">
        <v>2.0</v>
      </c>
      <c r="J508" s="108" t="s">
        <v>2051</v>
      </c>
      <c r="K508" s="109">
        <v>45903.0</v>
      </c>
      <c r="L508" s="107" t="s">
        <v>270</v>
      </c>
      <c r="M508" s="110" t="s">
        <v>2372</v>
      </c>
      <c r="N508" s="103" t="s">
        <v>2379</v>
      </c>
      <c r="O508" s="103" t="s">
        <v>2374</v>
      </c>
      <c r="P508" s="103">
        <v>440510.0</v>
      </c>
      <c r="Q508" s="103" t="s">
        <v>1280</v>
      </c>
      <c r="R508" s="103" t="s">
        <v>275</v>
      </c>
      <c r="S508" s="103">
        <v>2500.0</v>
      </c>
      <c r="T508" s="111"/>
      <c r="U508" s="103" t="s">
        <v>2380</v>
      </c>
      <c r="V508" s="103" t="s">
        <v>2381</v>
      </c>
      <c r="W508" s="104"/>
      <c r="X508" s="103" t="s">
        <v>47</v>
      </c>
      <c r="Y508" s="103" t="s">
        <v>48</v>
      </c>
      <c r="Z508" s="103" t="s">
        <v>102</v>
      </c>
      <c r="AA508" s="103" t="s">
        <v>970</v>
      </c>
      <c r="AB508" s="103" t="s">
        <v>1812</v>
      </c>
      <c r="AC508" s="103" t="s">
        <v>2304</v>
      </c>
      <c r="AD508" s="103" t="s">
        <v>2382</v>
      </c>
      <c r="AE508" s="103">
        <v>7362.73</v>
      </c>
      <c r="AF508" s="104"/>
      <c r="AG508" s="104"/>
      <c r="AH508" s="100"/>
      <c r="AI508" s="100"/>
      <c r="AJ508" s="100"/>
      <c r="AK508" s="100"/>
    </row>
    <row r="509" hidden="1">
      <c r="A509" s="100"/>
      <c r="B509" s="128">
        <v>45866.0</v>
      </c>
      <c r="C509" s="101">
        <v>45885.0</v>
      </c>
      <c r="D509" s="102">
        <f t="shared" si="11"/>
        <v>0</v>
      </c>
      <c r="E509" s="103" t="s">
        <v>2167</v>
      </c>
      <c r="F509" s="103">
        <v>38098.0</v>
      </c>
      <c r="G509" s="130">
        <v>1950.0</v>
      </c>
      <c r="H509" s="106" t="s">
        <v>1165</v>
      </c>
      <c r="I509" s="107">
        <v>1.0</v>
      </c>
      <c r="J509" s="108" t="s">
        <v>2051</v>
      </c>
      <c r="K509" s="109">
        <v>45889.0</v>
      </c>
      <c r="L509" s="107" t="s">
        <v>1248</v>
      </c>
      <c r="M509" s="132"/>
      <c r="N509" s="103">
        <v>1.5009178E7</v>
      </c>
      <c r="O509" s="111"/>
      <c r="P509" s="103">
        <v>436225.0</v>
      </c>
      <c r="Q509" s="103" t="s">
        <v>2383</v>
      </c>
      <c r="R509" s="103" t="s">
        <v>196</v>
      </c>
      <c r="S509" s="103">
        <v>520.0</v>
      </c>
      <c r="T509" s="111"/>
      <c r="U509" s="103" t="s">
        <v>2384</v>
      </c>
      <c r="V509" s="103" t="s">
        <v>2385</v>
      </c>
      <c r="W509" s="104"/>
      <c r="X509" s="103" t="s">
        <v>1023</v>
      </c>
      <c r="Y509" s="103" t="s">
        <v>48</v>
      </c>
      <c r="Z509" s="103" t="s">
        <v>49</v>
      </c>
      <c r="AA509" s="103" t="s">
        <v>72</v>
      </c>
      <c r="AB509" s="103" t="s">
        <v>1589</v>
      </c>
      <c r="AC509" s="103" t="s">
        <v>2304</v>
      </c>
      <c r="AD509" s="103" t="s">
        <v>2386</v>
      </c>
      <c r="AE509" s="103">
        <v>6635.75</v>
      </c>
      <c r="AF509" s="104"/>
      <c r="AG509" s="104"/>
      <c r="AH509" s="100"/>
      <c r="AI509" s="100"/>
      <c r="AJ509" s="100"/>
      <c r="AK509" s="100"/>
    </row>
    <row r="510" hidden="1">
      <c r="A510" s="133">
        <v>0.0</v>
      </c>
      <c r="B510" s="128">
        <v>45869.0</v>
      </c>
      <c r="C510" s="101">
        <v>45885.0</v>
      </c>
      <c r="D510" s="102">
        <f t="shared" si="11"/>
        <v>0</v>
      </c>
      <c r="E510" s="103" t="s">
        <v>2120</v>
      </c>
      <c r="F510" s="103">
        <v>37936.0</v>
      </c>
      <c r="G510" s="130">
        <v>2175.0</v>
      </c>
      <c r="H510" s="106" t="s">
        <v>1915</v>
      </c>
      <c r="I510" s="107">
        <v>1.0</v>
      </c>
      <c r="J510" s="108" t="s">
        <v>2051</v>
      </c>
      <c r="K510" s="109">
        <v>45889.0</v>
      </c>
      <c r="L510" s="107" t="s">
        <v>2282</v>
      </c>
      <c r="M510" s="110" t="s">
        <v>2387</v>
      </c>
      <c r="N510" s="103">
        <v>655.0</v>
      </c>
      <c r="O510" s="103" t="s">
        <v>2069</v>
      </c>
      <c r="P510" s="103">
        <v>435894.0</v>
      </c>
      <c r="Q510" s="103" t="s">
        <v>2053</v>
      </c>
      <c r="R510" s="103" t="s">
        <v>1608</v>
      </c>
      <c r="S510" s="103">
        <v>580.0</v>
      </c>
      <c r="T510" s="111"/>
      <c r="U510" s="103" t="s">
        <v>2388</v>
      </c>
      <c r="V510" s="103" t="s">
        <v>2389</v>
      </c>
      <c r="W510" s="104"/>
      <c r="X510" s="103" t="s">
        <v>1023</v>
      </c>
      <c r="Y510" s="103" t="s">
        <v>48</v>
      </c>
      <c r="Z510" s="103" t="s">
        <v>49</v>
      </c>
      <c r="AA510" s="103" t="s">
        <v>72</v>
      </c>
      <c r="AB510" s="103" t="s">
        <v>1589</v>
      </c>
      <c r="AC510" s="103" t="s">
        <v>2304</v>
      </c>
      <c r="AD510" s="103" t="s">
        <v>2390</v>
      </c>
      <c r="AE510" s="103">
        <v>3900.75</v>
      </c>
      <c r="AF510" s="104"/>
      <c r="AG510" s="104"/>
      <c r="AH510" s="100"/>
      <c r="AI510" s="100"/>
      <c r="AJ510" s="100"/>
      <c r="AK510" s="100"/>
    </row>
    <row r="511" hidden="1">
      <c r="A511" s="100"/>
      <c r="B511" s="128">
        <v>45854.0</v>
      </c>
      <c r="C511" s="101">
        <v>45885.0</v>
      </c>
      <c r="D511" s="102">
        <f t="shared" si="11"/>
        <v>0</v>
      </c>
      <c r="E511" s="103" t="s">
        <v>2167</v>
      </c>
      <c r="F511" s="103" t="s">
        <v>2391</v>
      </c>
      <c r="G511" s="130">
        <v>937.5</v>
      </c>
      <c r="H511" s="134" t="s">
        <v>1165</v>
      </c>
      <c r="I511" s="107" t="s">
        <v>1689</v>
      </c>
      <c r="J511" s="108" t="s">
        <v>2051</v>
      </c>
      <c r="K511" s="109">
        <v>45896.0</v>
      </c>
      <c r="L511" s="107" t="s">
        <v>53</v>
      </c>
      <c r="M511" s="103" t="s">
        <v>2392</v>
      </c>
      <c r="N511" s="103">
        <v>1108189.0</v>
      </c>
      <c r="O511" s="103" t="s">
        <v>2393</v>
      </c>
      <c r="P511" s="103">
        <v>180746.0</v>
      </c>
      <c r="Q511" s="103" t="s">
        <v>1846</v>
      </c>
      <c r="R511" s="103" t="s">
        <v>2394</v>
      </c>
      <c r="S511" s="103">
        <v>250.0</v>
      </c>
      <c r="T511" s="104"/>
      <c r="U511" s="104"/>
      <c r="V511" s="103" t="s">
        <v>2395</v>
      </c>
      <c r="W511" s="104"/>
      <c r="X511" s="103" t="s">
        <v>1023</v>
      </c>
      <c r="Y511" s="103" t="s">
        <v>1663</v>
      </c>
      <c r="Z511" s="103" t="s">
        <v>49</v>
      </c>
      <c r="AA511" s="103" t="s">
        <v>2396</v>
      </c>
      <c r="AB511" s="103" t="s">
        <v>2397</v>
      </c>
      <c r="AC511" s="103" t="s">
        <v>2361</v>
      </c>
      <c r="AD511" s="103">
        <v>168084.0</v>
      </c>
      <c r="AE511" s="103">
        <v>11307.84</v>
      </c>
      <c r="AF511" s="104"/>
      <c r="AG511" s="104"/>
      <c r="AH511" s="100"/>
      <c r="AI511" s="100"/>
      <c r="AJ511" s="100"/>
      <c r="AK511" s="100"/>
    </row>
    <row r="512" hidden="1">
      <c r="A512" s="100"/>
      <c r="B512" s="128">
        <v>45841.0</v>
      </c>
      <c r="C512" s="101">
        <v>45891.0</v>
      </c>
      <c r="D512" s="102">
        <f t="shared" si="11"/>
        <v>0</v>
      </c>
      <c r="E512" s="103" t="s">
        <v>2120</v>
      </c>
      <c r="F512" s="104"/>
      <c r="G512" s="105"/>
      <c r="H512" s="106" t="s">
        <v>1915</v>
      </c>
      <c r="I512" s="107">
        <v>2.0</v>
      </c>
      <c r="J512" s="108" t="s">
        <v>2051</v>
      </c>
      <c r="K512" s="109">
        <v>45896.0</v>
      </c>
      <c r="L512" s="107" t="s">
        <v>1283</v>
      </c>
      <c r="M512" s="110" t="s">
        <v>1131</v>
      </c>
      <c r="N512" s="103" t="s">
        <v>2398</v>
      </c>
      <c r="O512" s="103" t="s">
        <v>2399</v>
      </c>
      <c r="P512" s="103">
        <v>440077.0</v>
      </c>
      <c r="Q512" s="103" t="s">
        <v>148</v>
      </c>
      <c r="R512" s="103" t="s">
        <v>2300</v>
      </c>
      <c r="S512" s="103" t="s">
        <v>2301</v>
      </c>
      <c r="T512" s="111"/>
      <c r="U512" s="103" t="s">
        <v>2400</v>
      </c>
      <c r="V512" s="103" t="s">
        <v>2401</v>
      </c>
      <c r="W512" s="104"/>
      <c r="X512" s="103" t="s">
        <v>1023</v>
      </c>
      <c r="Y512" s="103" t="s">
        <v>48</v>
      </c>
      <c r="Z512" s="103" t="s">
        <v>102</v>
      </c>
      <c r="AA512" s="103" t="s">
        <v>72</v>
      </c>
      <c r="AB512" s="103" t="s">
        <v>294</v>
      </c>
      <c r="AC512" s="103" t="s">
        <v>2304</v>
      </c>
      <c r="AD512" s="103" t="s">
        <v>2402</v>
      </c>
      <c r="AE512" s="103">
        <v>7302.73</v>
      </c>
      <c r="AF512" s="104"/>
      <c r="AG512" s="104"/>
      <c r="AH512" s="100"/>
      <c r="AI512" s="100"/>
      <c r="AJ512" s="100"/>
      <c r="AK512" s="100"/>
    </row>
    <row r="513" hidden="1">
      <c r="A513" s="100"/>
      <c r="B513" s="101">
        <v>45877.0</v>
      </c>
      <c r="C513" s="101">
        <v>45892.0</v>
      </c>
      <c r="D513" s="102">
        <f t="shared" si="11"/>
        <v>0</v>
      </c>
      <c r="E513" s="103" t="s">
        <v>2403</v>
      </c>
      <c r="F513" s="103">
        <v>38332.0</v>
      </c>
      <c r="G513" s="130">
        <v>2175.0</v>
      </c>
      <c r="H513" s="106" t="s">
        <v>1915</v>
      </c>
      <c r="I513" s="107">
        <v>1.0</v>
      </c>
      <c r="J513" s="108" t="s">
        <v>2051</v>
      </c>
      <c r="K513" s="109">
        <v>45913.0</v>
      </c>
      <c r="L513" s="107" t="s">
        <v>2282</v>
      </c>
      <c r="M513" s="110" t="s">
        <v>2326</v>
      </c>
      <c r="N513" s="103">
        <v>680.0</v>
      </c>
      <c r="O513" s="103" t="s">
        <v>2069</v>
      </c>
      <c r="P513" s="103">
        <v>454323.0</v>
      </c>
      <c r="Q513" s="103" t="s">
        <v>2053</v>
      </c>
      <c r="R513" s="103" t="s">
        <v>1608</v>
      </c>
      <c r="S513" s="103">
        <v>580.0</v>
      </c>
      <c r="T513" s="111"/>
      <c r="U513" s="103" t="s">
        <v>2404</v>
      </c>
      <c r="V513" s="103" t="s">
        <v>2405</v>
      </c>
      <c r="W513" s="104"/>
      <c r="X513" s="103" t="s">
        <v>1023</v>
      </c>
      <c r="Y513" s="103" t="s">
        <v>48</v>
      </c>
      <c r="Z513" s="103" t="s">
        <v>49</v>
      </c>
      <c r="AA513" s="103" t="s">
        <v>72</v>
      </c>
      <c r="AB513" s="103" t="s">
        <v>1589</v>
      </c>
      <c r="AC513" s="103" t="s">
        <v>2304</v>
      </c>
      <c r="AD513" s="103" t="s">
        <v>2406</v>
      </c>
      <c r="AE513" s="103">
        <v>4270.25</v>
      </c>
      <c r="AF513" s="104"/>
      <c r="AG513" s="104"/>
      <c r="AH513" s="100"/>
      <c r="AI513" s="100"/>
      <c r="AJ513" s="100"/>
      <c r="AK513" s="100"/>
    </row>
    <row r="514" hidden="1">
      <c r="A514" s="100"/>
      <c r="B514" s="128">
        <v>45864.0</v>
      </c>
      <c r="C514" s="101">
        <v>45892.0</v>
      </c>
      <c r="D514" s="102">
        <f t="shared" si="11"/>
        <v>0</v>
      </c>
      <c r="E514" s="135" t="s">
        <v>2137</v>
      </c>
      <c r="F514" s="103" t="s">
        <v>2407</v>
      </c>
      <c r="G514" s="130">
        <v>6956.0</v>
      </c>
      <c r="H514" s="106" t="s">
        <v>2408</v>
      </c>
      <c r="I514" s="107">
        <v>1.0</v>
      </c>
      <c r="J514" s="108" t="s">
        <v>2051</v>
      </c>
      <c r="K514" s="109">
        <v>45910.0</v>
      </c>
      <c r="L514" s="107" t="s">
        <v>2409</v>
      </c>
      <c r="M514" s="110" t="s">
        <v>2410</v>
      </c>
      <c r="N514" s="103">
        <v>81894.0</v>
      </c>
      <c r="O514" s="111"/>
      <c r="P514" s="103">
        <v>190531.0</v>
      </c>
      <c r="Q514" s="103" t="s">
        <v>1970</v>
      </c>
      <c r="R514" s="103" t="s">
        <v>334</v>
      </c>
      <c r="S514" s="103">
        <v>1850.0</v>
      </c>
      <c r="T514" s="111"/>
      <c r="U514" s="103" t="s">
        <v>2411</v>
      </c>
      <c r="V514" s="103" t="s">
        <v>2412</v>
      </c>
      <c r="W514" s="104"/>
      <c r="X514" s="103" t="s">
        <v>1023</v>
      </c>
      <c r="Y514" s="103" t="s">
        <v>120</v>
      </c>
      <c r="Z514" s="103" t="s">
        <v>49</v>
      </c>
      <c r="AA514" s="103" t="s">
        <v>72</v>
      </c>
      <c r="AB514" s="103" t="s">
        <v>1149</v>
      </c>
      <c r="AC514" s="103" t="s">
        <v>175</v>
      </c>
      <c r="AD514" s="103" t="s">
        <v>2413</v>
      </c>
      <c r="AE514" s="103">
        <f>4039.2+34.5</f>
        <v>4073.7</v>
      </c>
      <c r="AF514" s="104"/>
      <c r="AG514" s="104"/>
      <c r="AH514" s="100"/>
      <c r="AI514" s="100"/>
      <c r="AJ514" s="100"/>
      <c r="AK514" s="100"/>
    </row>
    <row r="515" hidden="1">
      <c r="A515" s="100"/>
      <c r="B515" s="128">
        <v>45863.0</v>
      </c>
      <c r="C515" s="101">
        <v>45896.0</v>
      </c>
      <c r="D515" s="102">
        <f t="shared" si="11"/>
        <v>0</v>
      </c>
      <c r="E515" s="103" t="s">
        <v>2120</v>
      </c>
      <c r="F515" s="103" t="s">
        <v>2414</v>
      </c>
      <c r="G515" s="130">
        <v>52500.0</v>
      </c>
      <c r="H515" s="106" t="s">
        <v>2408</v>
      </c>
      <c r="I515" s="107">
        <v>5.0</v>
      </c>
      <c r="J515" s="108" t="s">
        <v>1420</v>
      </c>
      <c r="K515" s="109">
        <v>45907.0</v>
      </c>
      <c r="L515" s="107" t="s">
        <v>1492</v>
      </c>
      <c r="M515" s="110" t="s">
        <v>2415</v>
      </c>
      <c r="N515" s="103" t="s">
        <v>2416</v>
      </c>
      <c r="O515" s="103" t="s">
        <v>2417</v>
      </c>
      <c r="P515" s="103">
        <v>184301.0</v>
      </c>
      <c r="Q515" s="103" t="s">
        <v>1970</v>
      </c>
      <c r="R515" s="103" t="s">
        <v>1912</v>
      </c>
      <c r="S515" s="103">
        <v>2800.0</v>
      </c>
      <c r="T515" s="111"/>
      <c r="U515" s="103" t="s">
        <v>2418</v>
      </c>
      <c r="V515" s="111"/>
      <c r="W515" s="104"/>
      <c r="X515" s="103" t="s">
        <v>1023</v>
      </c>
      <c r="Y515" s="103" t="s">
        <v>48</v>
      </c>
      <c r="Z515" s="103" t="s">
        <v>102</v>
      </c>
      <c r="AA515" s="103" t="s">
        <v>72</v>
      </c>
      <c r="AB515" s="103" t="s">
        <v>1812</v>
      </c>
      <c r="AC515" s="103" t="s">
        <v>175</v>
      </c>
      <c r="AD515" s="103" t="s">
        <v>2419</v>
      </c>
      <c r="AE515" s="104">
        <f>17541.13+69+651.54</f>
        <v>18261.67</v>
      </c>
      <c r="AF515" s="104"/>
      <c r="AG515" s="104"/>
      <c r="AH515" s="100"/>
      <c r="AI515" s="100"/>
      <c r="AJ515" s="100"/>
      <c r="AK515" s="100"/>
    </row>
    <row r="516" hidden="1">
      <c r="A516" s="100"/>
      <c r="B516" s="128">
        <v>45856.0</v>
      </c>
      <c r="C516" s="101">
        <v>45905.0</v>
      </c>
      <c r="D516" s="102">
        <f t="shared" si="11"/>
        <v>0</v>
      </c>
      <c r="E516" s="103" t="s">
        <v>2167</v>
      </c>
      <c r="F516" s="103" t="s">
        <v>2420</v>
      </c>
      <c r="G516" s="130">
        <v>85500.0</v>
      </c>
      <c r="H516" s="106" t="s">
        <v>1165</v>
      </c>
      <c r="I516" s="107">
        <v>8.0</v>
      </c>
      <c r="J516" s="108" t="s">
        <v>1420</v>
      </c>
      <c r="K516" s="109">
        <v>45918.0</v>
      </c>
      <c r="L516" s="107" t="s">
        <v>38</v>
      </c>
      <c r="M516" s="110" t="s">
        <v>2421</v>
      </c>
      <c r="N516" s="103" t="s">
        <v>2422</v>
      </c>
      <c r="O516" s="103" t="s">
        <v>2423</v>
      </c>
      <c r="P516" s="103">
        <v>190268.0</v>
      </c>
      <c r="Q516" s="103" t="s">
        <v>1846</v>
      </c>
      <c r="R516" s="103" t="s">
        <v>775</v>
      </c>
      <c r="S516" s="103">
        <v>2850.0</v>
      </c>
      <c r="T516" s="111"/>
      <c r="U516" s="103" t="s">
        <v>2424</v>
      </c>
      <c r="V516" s="103" t="s">
        <v>2425</v>
      </c>
      <c r="W516" s="104"/>
      <c r="X516" s="103" t="s">
        <v>1023</v>
      </c>
      <c r="Y516" s="103" t="s">
        <v>120</v>
      </c>
      <c r="Z516" s="103" t="s">
        <v>49</v>
      </c>
      <c r="AA516" s="103" t="s">
        <v>72</v>
      </c>
      <c r="AB516" s="103" t="s">
        <v>1812</v>
      </c>
      <c r="AC516" s="103" t="s">
        <v>175</v>
      </c>
      <c r="AD516" s="103" t="s">
        <v>2426</v>
      </c>
      <c r="AE516" s="104">
        <f>20977.53+34.5+207</f>
        <v>21219.03</v>
      </c>
      <c r="AF516" s="104"/>
      <c r="AG516" s="104"/>
      <c r="AH516" s="100"/>
      <c r="AI516" s="100"/>
      <c r="AJ516" s="100"/>
      <c r="AK516" s="100"/>
    </row>
    <row r="517" hidden="1">
      <c r="A517" s="100"/>
      <c r="B517" s="128">
        <v>45856.0</v>
      </c>
      <c r="C517" s="101">
        <v>45905.0</v>
      </c>
      <c r="D517" s="102">
        <f t="shared" si="11"/>
        <v>0</v>
      </c>
      <c r="E517" s="103" t="s">
        <v>2167</v>
      </c>
      <c r="F517" s="103" t="s">
        <v>2427</v>
      </c>
      <c r="G517" s="130">
        <v>74812.5</v>
      </c>
      <c r="H517" s="106" t="s">
        <v>1165</v>
      </c>
      <c r="I517" s="107">
        <v>7.0</v>
      </c>
      <c r="J517" s="108" t="s">
        <v>1420</v>
      </c>
      <c r="K517" s="109">
        <v>45916.0</v>
      </c>
      <c r="L517" s="107" t="s">
        <v>38</v>
      </c>
      <c r="M517" s="110" t="s">
        <v>2428</v>
      </c>
      <c r="N517" s="103" t="s">
        <v>2429</v>
      </c>
      <c r="O517" s="103" t="s">
        <v>2423</v>
      </c>
      <c r="P517" s="103">
        <v>190106.0</v>
      </c>
      <c r="Q517" s="103" t="s">
        <v>1846</v>
      </c>
      <c r="R517" s="103" t="s">
        <v>775</v>
      </c>
      <c r="S517" s="103">
        <v>2850.0</v>
      </c>
      <c r="T517" s="111"/>
      <c r="U517" s="103" t="s">
        <v>2430</v>
      </c>
      <c r="V517" s="103" t="s">
        <v>2431</v>
      </c>
      <c r="W517" s="104"/>
      <c r="X517" s="103" t="s">
        <v>1023</v>
      </c>
      <c r="Y517" s="103" t="s">
        <v>120</v>
      </c>
      <c r="Z517" s="103" t="s">
        <v>49</v>
      </c>
      <c r="AA517" s="103" t="s">
        <v>72</v>
      </c>
      <c r="AB517" s="103" t="s">
        <v>1812</v>
      </c>
      <c r="AC517" s="103" t="s">
        <v>175</v>
      </c>
      <c r="AD517" s="103" t="s">
        <v>2432</v>
      </c>
      <c r="AE517" s="103">
        <f>23921.73+138+103.5+34.5</f>
        <v>24197.73</v>
      </c>
      <c r="AF517" s="104"/>
      <c r="AG517" s="104"/>
      <c r="AH517" s="100"/>
      <c r="AI517" s="100"/>
      <c r="AJ517" s="100"/>
      <c r="AK517" s="100"/>
    </row>
    <row r="518" hidden="1">
      <c r="A518" s="100"/>
      <c r="B518" s="128">
        <v>45862.0</v>
      </c>
      <c r="C518" s="101">
        <v>45913.0</v>
      </c>
      <c r="D518" s="102">
        <f t="shared" si="11"/>
        <v>0</v>
      </c>
      <c r="E518" s="103" t="s">
        <v>2167</v>
      </c>
      <c r="F518" s="103" t="s">
        <v>2433</v>
      </c>
      <c r="G518" s="130">
        <v>54562.5</v>
      </c>
      <c r="H518" s="106" t="s">
        <v>1165</v>
      </c>
      <c r="I518" s="107">
        <v>3.0</v>
      </c>
      <c r="J518" s="108" t="s">
        <v>2051</v>
      </c>
      <c r="K518" s="109">
        <v>45924.0</v>
      </c>
      <c r="L518" s="107" t="s">
        <v>1478</v>
      </c>
      <c r="M518" s="110" t="s">
        <v>2434</v>
      </c>
      <c r="N518" s="103" t="s">
        <v>2435</v>
      </c>
      <c r="O518" s="103" t="s">
        <v>2436</v>
      </c>
      <c r="P518" s="103">
        <v>493665.0</v>
      </c>
      <c r="Q518" s="103" t="s">
        <v>246</v>
      </c>
      <c r="R518" s="103" t="s">
        <v>1482</v>
      </c>
      <c r="S518" s="111"/>
      <c r="T518" s="111"/>
      <c r="U518" s="103" t="s">
        <v>2437</v>
      </c>
      <c r="V518" s="111"/>
      <c r="W518" s="104"/>
      <c r="X518" s="103" t="s">
        <v>1023</v>
      </c>
      <c r="Y518" s="103" t="s">
        <v>48</v>
      </c>
      <c r="Z518" s="103" t="s">
        <v>102</v>
      </c>
      <c r="AA518" s="103" t="s">
        <v>72</v>
      </c>
      <c r="AB518" s="103" t="s">
        <v>1812</v>
      </c>
      <c r="AC518" s="103" t="s">
        <v>2304</v>
      </c>
      <c r="AD518" s="103" t="s">
        <v>2438</v>
      </c>
      <c r="AE518" s="103">
        <v>19073.71</v>
      </c>
      <c r="AF518" s="104"/>
      <c r="AG518" s="104"/>
      <c r="AH518" s="100"/>
      <c r="AI518" s="100"/>
      <c r="AJ518" s="100"/>
      <c r="AK518" s="100"/>
    </row>
    <row r="519" hidden="1">
      <c r="A519" s="100"/>
      <c r="B519" s="131">
        <v>45906.0</v>
      </c>
      <c r="C519" s="131">
        <v>45924.0</v>
      </c>
      <c r="D519" s="102">
        <f t="shared" si="11"/>
        <v>0</v>
      </c>
      <c r="E519" s="103" t="s">
        <v>2120</v>
      </c>
      <c r="F519" s="103" t="s">
        <v>2439</v>
      </c>
      <c r="G519" s="130">
        <v>7950.0</v>
      </c>
      <c r="H519" s="106" t="s">
        <v>1915</v>
      </c>
      <c r="I519" s="136">
        <v>1.0</v>
      </c>
      <c r="J519" s="108" t="s">
        <v>1420</v>
      </c>
      <c r="K519" s="109">
        <v>45927.0</v>
      </c>
      <c r="L519" s="107" t="s">
        <v>242</v>
      </c>
      <c r="M519" s="103" t="s">
        <v>2440</v>
      </c>
      <c r="N519" s="103">
        <v>94079.0</v>
      </c>
      <c r="O519" s="104"/>
      <c r="P519" s="103">
        <v>514182.0</v>
      </c>
      <c r="Q519" s="103" t="s">
        <v>864</v>
      </c>
      <c r="R519" s="103" t="s">
        <v>1834</v>
      </c>
      <c r="S519" s="103">
        <v>2120.0</v>
      </c>
      <c r="T519" s="104"/>
      <c r="U519" s="103" t="s">
        <v>2441</v>
      </c>
      <c r="V519" s="103" t="s">
        <v>2442</v>
      </c>
      <c r="W519" s="104"/>
      <c r="X519" s="103" t="s">
        <v>1023</v>
      </c>
      <c r="Y519" s="103" t="s">
        <v>48</v>
      </c>
      <c r="Z519" s="103" t="s">
        <v>102</v>
      </c>
      <c r="AA519" s="103" t="s">
        <v>72</v>
      </c>
      <c r="AB519" s="103" t="s">
        <v>1812</v>
      </c>
      <c r="AC519" s="103" t="s">
        <v>2304</v>
      </c>
      <c r="AD519" s="103" t="s">
        <v>2443</v>
      </c>
      <c r="AE519" s="103">
        <v>3513.0</v>
      </c>
      <c r="AF519" s="104"/>
      <c r="AG519" s="104"/>
      <c r="AH519" s="100"/>
      <c r="AI519" s="100"/>
      <c r="AJ519" s="100"/>
      <c r="AK519" s="100"/>
    </row>
    <row r="520" hidden="1">
      <c r="A520" s="100"/>
      <c r="B520" s="101">
        <v>45919.0</v>
      </c>
      <c r="C520" s="101">
        <v>45929.0</v>
      </c>
      <c r="D520" s="102">
        <f t="shared" si="11"/>
        <v>0</v>
      </c>
      <c r="E520" s="103" t="s">
        <v>2444</v>
      </c>
      <c r="F520" s="103" t="s">
        <v>2445</v>
      </c>
      <c r="G520" s="130">
        <v>18750.0</v>
      </c>
      <c r="H520" s="106" t="s">
        <v>2446</v>
      </c>
      <c r="I520" s="136">
        <v>4.0</v>
      </c>
      <c r="J520" s="108" t="s">
        <v>2051</v>
      </c>
      <c r="K520" s="109">
        <v>45936.0</v>
      </c>
      <c r="L520" s="107" t="s">
        <v>2024</v>
      </c>
      <c r="M520" s="103" t="s">
        <v>2447</v>
      </c>
      <c r="N520" s="103" t="s">
        <v>2448</v>
      </c>
      <c r="O520" s="103" t="s">
        <v>2449</v>
      </c>
      <c r="P520" s="103">
        <v>532955.0</v>
      </c>
      <c r="Q520" s="103" t="s">
        <v>477</v>
      </c>
      <c r="R520" s="103" t="s">
        <v>2153</v>
      </c>
      <c r="S520" s="103">
        <v>1250.0</v>
      </c>
      <c r="T520" s="104"/>
      <c r="U520" s="103" t="s">
        <v>2450</v>
      </c>
      <c r="V520" s="103">
        <v>3.100106088E9</v>
      </c>
      <c r="W520" s="104"/>
      <c r="X520" s="103" t="s">
        <v>1023</v>
      </c>
      <c r="Y520" s="103" t="s">
        <v>48</v>
      </c>
      <c r="Z520" s="103" t="s">
        <v>102</v>
      </c>
      <c r="AA520" s="103" t="s">
        <v>1860</v>
      </c>
      <c r="AB520" s="103" t="s">
        <v>2451</v>
      </c>
      <c r="AC520" s="103" t="s">
        <v>2304</v>
      </c>
      <c r="AD520" s="103" t="s">
        <v>2452</v>
      </c>
      <c r="AE520" s="103">
        <v>24961.44</v>
      </c>
      <c r="AF520" s="104"/>
      <c r="AG520" s="104"/>
      <c r="AH520" s="100"/>
      <c r="AI520" s="100"/>
      <c r="AJ520" s="100"/>
      <c r="AK520" s="100"/>
    </row>
    <row r="521" hidden="1">
      <c r="A521" s="100"/>
      <c r="B521" s="137"/>
      <c r="C521" s="101">
        <v>45932.0</v>
      </c>
      <c r="D521" s="102">
        <f t="shared" si="11"/>
        <v>0</v>
      </c>
      <c r="E521" s="103" t="s">
        <v>2137</v>
      </c>
      <c r="F521" s="103" t="s">
        <v>2453</v>
      </c>
      <c r="G521" s="130">
        <v>13186.0</v>
      </c>
      <c r="H521" s="106" t="s">
        <v>2408</v>
      </c>
      <c r="I521" s="107">
        <v>1.0</v>
      </c>
      <c r="J521" s="108" t="s">
        <v>1420</v>
      </c>
      <c r="K521" s="109">
        <v>45937.0</v>
      </c>
      <c r="L521" s="107" t="s">
        <v>2010</v>
      </c>
      <c r="M521" s="110" t="s">
        <v>2454</v>
      </c>
      <c r="N521" s="103">
        <v>2.025000004014E12</v>
      </c>
      <c r="O521" s="103" t="s">
        <v>2314</v>
      </c>
      <c r="P521" s="103">
        <v>205609.0</v>
      </c>
      <c r="Q521" s="103" t="s">
        <v>1970</v>
      </c>
      <c r="R521" s="103" t="s">
        <v>2455</v>
      </c>
      <c r="S521" s="111"/>
      <c r="T521" s="111"/>
      <c r="U521" s="103" t="s">
        <v>2456</v>
      </c>
      <c r="V521" s="103" t="s">
        <v>2457</v>
      </c>
      <c r="W521" s="104"/>
      <c r="X521" s="103" t="s">
        <v>1023</v>
      </c>
      <c r="Y521" s="103" t="s">
        <v>48</v>
      </c>
      <c r="Z521" s="103" t="s">
        <v>102</v>
      </c>
      <c r="AA521" s="103" t="s">
        <v>72</v>
      </c>
      <c r="AB521" s="103" t="s">
        <v>2458</v>
      </c>
      <c r="AC521" s="103" t="s">
        <v>175</v>
      </c>
      <c r="AD521" s="103">
        <v>170751.0</v>
      </c>
      <c r="AE521" s="103">
        <v>4283.23</v>
      </c>
      <c r="AF521" s="104"/>
      <c r="AG521" s="104"/>
      <c r="AH521" s="100"/>
      <c r="AI521" s="100"/>
      <c r="AJ521" s="100"/>
      <c r="AK521" s="100"/>
    </row>
    <row r="522" hidden="1">
      <c r="A522" s="100"/>
      <c r="B522" s="101">
        <v>45898.0</v>
      </c>
      <c r="C522" s="138">
        <v>45934.0</v>
      </c>
      <c r="D522" s="102">
        <f t="shared" si="11"/>
        <v>0</v>
      </c>
      <c r="E522" s="103" t="s">
        <v>2137</v>
      </c>
      <c r="F522" s="103" t="s">
        <v>2459</v>
      </c>
      <c r="G522" s="130">
        <v>6486.0</v>
      </c>
      <c r="H522" s="106" t="s">
        <v>2408</v>
      </c>
      <c r="I522" s="136">
        <v>1.0</v>
      </c>
      <c r="J522" s="108" t="s">
        <v>2051</v>
      </c>
      <c r="K522" s="109">
        <v>45941.0</v>
      </c>
      <c r="L522" s="107" t="s">
        <v>727</v>
      </c>
      <c r="M522" s="103" t="s">
        <v>2460</v>
      </c>
      <c r="N522" s="103">
        <v>173105.0</v>
      </c>
      <c r="O522" s="103" t="s">
        <v>2205</v>
      </c>
      <c r="P522" s="103">
        <v>208693.0</v>
      </c>
      <c r="Q522" s="103" t="s">
        <v>1970</v>
      </c>
      <c r="R522" s="103" t="s">
        <v>334</v>
      </c>
      <c r="S522" s="103">
        <v>1725.0</v>
      </c>
      <c r="T522" s="104"/>
      <c r="U522" s="103" t="s">
        <v>2461</v>
      </c>
      <c r="V522" s="103" t="s">
        <v>2462</v>
      </c>
      <c r="W522" s="104"/>
      <c r="X522" s="103" t="s">
        <v>1023</v>
      </c>
      <c r="Y522" s="103" t="s">
        <v>120</v>
      </c>
      <c r="Z522" s="103" t="s">
        <v>49</v>
      </c>
      <c r="AA522" s="103" t="s">
        <v>72</v>
      </c>
      <c r="AB522" s="103" t="s">
        <v>1824</v>
      </c>
      <c r="AC522" s="103" t="s">
        <v>2361</v>
      </c>
      <c r="AD522" s="103">
        <v>171059.0</v>
      </c>
      <c r="AE522" s="103">
        <v>3480.7</v>
      </c>
      <c r="AF522" s="104"/>
      <c r="AG522" s="104"/>
      <c r="AH522" s="100"/>
      <c r="AI522" s="100"/>
      <c r="AJ522" s="100"/>
      <c r="AK522" s="100"/>
    </row>
    <row r="523" hidden="1">
      <c r="A523" s="100"/>
      <c r="B523" s="101">
        <v>45919.0</v>
      </c>
      <c r="C523" s="101">
        <v>45934.0</v>
      </c>
      <c r="D523" s="102">
        <f t="shared" si="11"/>
        <v>0</v>
      </c>
      <c r="E523" s="106" t="s">
        <v>2343</v>
      </c>
      <c r="F523" s="103" t="s">
        <v>2463</v>
      </c>
      <c r="G523" s="130">
        <v>26250.0</v>
      </c>
      <c r="H523" s="106" t="s">
        <v>1915</v>
      </c>
      <c r="I523" s="136">
        <v>5.0</v>
      </c>
      <c r="J523" s="108" t="s">
        <v>2051</v>
      </c>
      <c r="K523" s="109">
        <v>45937.0</v>
      </c>
      <c r="L523" s="107" t="s">
        <v>2073</v>
      </c>
      <c r="M523" s="103" t="s">
        <v>2464</v>
      </c>
      <c r="N523" s="103" t="s">
        <v>2465</v>
      </c>
      <c r="O523" s="104"/>
      <c r="P523" s="103">
        <v>538352.0</v>
      </c>
      <c r="Q523" s="103" t="s">
        <v>2053</v>
      </c>
      <c r="R523" s="103" t="s">
        <v>1809</v>
      </c>
      <c r="S523" s="103">
        <v>1400.0</v>
      </c>
      <c r="T523" s="104"/>
      <c r="U523" s="103" t="s">
        <v>2466</v>
      </c>
      <c r="V523" s="103" t="s">
        <v>2467</v>
      </c>
      <c r="W523" s="104"/>
      <c r="X523" s="103" t="s">
        <v>1023</v>
      </c>
      <c r="Y523" s="103" t="s">
        <v>48</v>
      </c>
      <c r="Z523" s="103" t="s">
        <v>102</v>
      </c>
      <c r="AA523" s="103" t="s">
        <v>72</v>
      </c>
      <c r="AB523" s="103" t="s">
        <v>2451</v>
      </c>
      <c r="AC523" s="103" t="s">
        <v>2304</v>
      </c>
      <c r="AD523" s="103" t="s">
        <v>2468</v>
      </c>
      <c r="AE523" s="103">
        <v>14915.25</v>
      </c>
      <c r="AF523" s="104"/>
      <c r="AG523" s="104"/>
      <c r="AH523" s="100"/>
      <c r="AI523" s="100"/>
      <c r="AJ523" s="100"/>
      <c r="AK523" s="100"/>
    </row>
    <row r="524" hidden="1">
      <c r="A524" s="100"/>
      <c r="B524" s="101">
        <v>45911.0</v>
      </c>
      <c r="C524" s="101">
        <v>45935.0</v>
      </c>
      <c r="D524" s="102">
        <f t="shared" si="11"/>
        <v>0</v>
      </c>
      <c r="E524" s="139" t="s">
        <v>2137</v>
      </c>
      <c r="F524" s="103" t="s">
        <v>2469</v>
      </c>
      <c r="G524" s="130">
        <v>10351.25</v>
      </c>
      <c r="H524" s="106" t="s">
        <v>2408</v>
      </c>
      <c r="I524" s="136">
        <v>1.0</v>
      </c>
      <c r="J524" s="108" t="s">
        <v>2051</v>
      </c>
      <c r="K524" s="140">
        <v>45938.0</v>
      </c>
      <c r="L524" s="107" t="s">
        <v>38</v>
      </c>
      <c r="M524" s="103" t="s">
        <v>2470</v>
      </c>
      <c r="N524" s="103" t="s">
        <v>2471</v>
      </c>
      <c r="O524" s="103" t="s">
        <v>2472</v>
      </c>
      <c r="P524" s="103">
        <v>540267.0</v>
      </c>
      <c r="Q524" s="103" t="s">
        <v>2473</v>
      </c>
      <c r="R524" s="103" t="s">
        <v>2474</v>
      </c>
      <c r="S524" s="103" t="s">
        <v>2475</v>
      </c>
      <c r="T524" s="104"/>
      <c r="U524" s="103" t="s">
        <v>2476</v>
      </c>
      <c r="V524" s="103" t="s">
        <v>2477</v>
      </c>
      <c r="W524" s="104"/>
      <c r="X524" s="103" t="s">
        <v>1023</v>
      </c>
      <c r="Y524" s="103" t="s">
        <v>120</v>
      </c>
      <c r="Z524" s="103" t="s">
        <v>102</v>
      </c>
      <c r="AA524" s="103" t="s">
        <v>1860</v>
      </c>
      <c r="AB524" s="103" t="s">
        <v>1812</v>
      </c>
      <c r="AC524" s="103" t="s">
        <v>2304</v>
      </c>
      <c r="AD524" s="103" t="s">
        <v>2478</v>
      </c>
      <c r="AE524" s="103">
        <v>5957.25</v>
      </c>
      <c r="AF524" s="104"/>
      <c r="AG524" s="104"/>
      <c r="AH524" s="100"/>
      <c r="AI524" s="100"/>
      <c r="AJ524" s="100"/>
      <c r="AK524" s="100"/>
    </row>
    <row r="525" hidden="1">
      <c r="A525" s="100"/>
      <c r="B525" s="101">
        <v>45882.0</v>
      </c>
      <c r="C525" s="138">
        <v>45938.0</v>
      </c>
      <c r="D525" s="102">
        <f t="shared" si="11"/>
        <v>0</v>
      </c>
      <c r="E525" s="106" t="s">
        <v>2343</v>
      </c>
      <c r="F525" s="103" t="s">
        <v>2479</v>
      </c>
      <c r="G525" s="130">
        <v>7514.17</v>
      </c>
      <c r="H525" s="106" t="s">
        <v>1915</v>
      </c>
      <c r="I525" s="136">
        <v>1.0</v>
      </c>
      <c r="J525" s="108" t="s">
        <v>2051</v>
      </c>
      <c r="K525" s="109">
        <v>45941.0</v>
      </c>
      <c r="L525" s="107" t="s">
        <v>168</v>
      </c>
      <c r="M525" s="103" t="s">
        <v>2480</v>
      </c>
      <c r="N525" s="103">
        <v>5250343.0</v>
      </c>
      <c r="O525" s="103" t="s">
        <v>2481</v>
      </c>
      <c r="P525" s="103">
        <v>546840.0</v>
      </c>
      <c r="Q525" s="103" t="s">
        <v>171</v>
      </c>
      <c r="R525" s="103" t="s">
        <v>2173</v>
      </c>
      <c r="S525" s="103" t="s">
        <v>2482</v>
      </c>
      <c r="T525" s="104"/>
      <c r="U525" s="103" t="s">
        <v>2483</v>
      </c>
      <c r="V525" s="103" t="s">
        <v>2484</v>
      </c>
      <c r="W525" s="104"/>
      <c r="X525" s="103" t="s">
        <v>1023</v>
      </c>
      <c r="Y525" s="103" t="s">
        <v>48</v>
      </c>
      <c r="Z525" s="103" t="s">
        <v>102</v>
      </c>
      <c r="AA525" s="103" t="s">
        <v>1860</v>
      </c>
      <c r="AB525" s="103" t="s">
        <v>2485</v>
      </c>
      <c r="AC525" s="103" t="s">
        <v>2304</v>
      </c>
      <c r="AD525" s="103">
        <v>115.0</v>
      </c>
      <c r="AE525" s="103">
        <v>3542.25</v>
      </c>
      <c r="AF525" s="104"/>
      <c r="AG525" s="104"/>
      <c r="AH525" s="100"/>
      <c r="AI525" s="100"/>
      <c r="AJ525" s="100"/>
      <c r="AK525" s="100"/>
    </row>
    <row r="526" hidden="1">
      <c r="A526" s="100"/>
      <c r="B526" s="101">
        <v>45926.0</v>
      </c>
      <c r="C526" s="101">
        <v>45941.0</v>
      </c>
      <c r="D526" s="102">
        <f t="shared" si="11"/>
        <v>0</v>
      </c>
      <c r="E526" s="103" t="s">
        <v>2343</v>
      </c>
      <c r="F526" s="103" t="s">
        <v>2486</v>
      </c>
      <c r="G526" s="130">
        <v>5640.0</v>
      </c>
      <c r="H526" s="141" t="s">
        <v>1915</v>
      </c>
      <c r="I526" s="136">
        <v>3.0</v>
      </c>
      <c r="J526" s="108" t="s">
        <v>2051</v>
      </c>
      <c r="K526" s="109">
        <v>45946.0</v>
      </c>
      <c r="L526" s="107" t="s">
        <v>2282</v>
      </c>
      <c r="M526" s="103" t="s">
        <v>2487</v>
      </c>
      <c r="N526" s="103" t="s">
        <v>2488</v>
      </c>
      <c r="O526" s="103" t="s">
        <v>2069</v>
      </c>
      <c r="P526" s="103">
        <v>556445.0</v>
      </c>
      <c r="Q526" s="103" t="s">
        <v>2053</v>
      </c>
      <c r="R526" s="103" t="s">
        <v>1608</v>
      </c>
      <c r="S526" s="103">
        <v>500.0</v>
      </c>
      <c r="T526" s="104"/>
      <c r="U526" s="103" t="s">
        <v>2489</v>
      </c>
      <c r="V526" s="103" t="s">
        <v>2490</v>
      </c>
      <c r="W526" s="104"/>
      <c r="X526" s="103" t="s">
        <v>1023</v>
      </c>
      <c r="Y526" s="103" t="s">
        <v>48</v>
      </c>
      <c r="Z526" s="103" t="s">
        <v>49</v>
      </c>
      <c r="AA526" s="103" t="s">
        <v>970</v>
      </c>
      <c r="AB526" s="103" t="s">
        <v>1671</v>
      </c>
      <c r="AC526" s="103" t="s">
        <v>2361</v>
      </c>
      <c r="AD526" s="103" t="s">
        <v>2491</v>
      </c>
      <c r="AE526" s="103">
        <f>9186.75+69+34.5</f>
        <v>9290.25</v>
      </c>
      <c r="AF526" s="104"/>
      <c r="AG526" s="104"/>
      <c r="AH526" s="100"/>
      <c r="AI526" s="100"/>
      <c r="AJ526" s="100"/>
      <c r="AK526" s="100"/>
    </row>
    <row r="527" hidden="1">
      <c r="A527" s="100"/>
      <c r="B527" s="101">
        <v>45904.0</v>
      </c>
      <c r="C527" s="142">
        <v>45943.0</v>
      </c>
      <c r="D527" s="102">
        <f t="shared" si="11"/>
        <v>0</v>
      </c>
      <c r="E527" s="106" t="s">
        <v>2492</v>
      </c>
      <c r="F527" s="103" t="s">
        <v>2493</v>
      </c>
      <c r="G527" s="130">
        <v>12187.5</v>
      </c>
      <c r="H527" s="106" t="s">
        <v>2408</v>
      </c>
      <c r="I527" s="136">
        <v>1.0</v>
      </c>
      <c r="J527" s="108" t="s">
        <v>1420</v>
      </c>
      <c r="K527" s="109">
        <v>45951.0</v>
      </c>
      <c r="L527" s="107" t="s">
        <v>38</v>
      </c>
      <c r="M527" s="103" t="s">
        <v>2494</v>
      </c>
      <c r="N527" s="103" t="s">
        <v>2495</v>
      </c>
      <c r="O527" s="103" t="s">
        <v>2496</v>
      </c>
      <c r="P527" s="103">
        <v>209945.0</v>
      </c>
      <c r="Q527" s="103" t="s">
        <v>1846</v>
      </c>
      <c r="R527" s="103" t="s">
        <v>1847</v>
      </c>
      <c r="S527" s="103">
        <v>3250.0</v>
      </c>
      <c r="T527" s="104"/>
      <c r="U527" s="139" t="s">
        <v>2497</v>
      </c>
      <c r="V527" s="104"/>
      <c r="W527" s="104"/>
      <c r="X527" s="103" t="s">
        <v>1023</v>
      </c>
      <c r="Y527" s="103" t="s">
        <v>48</v>
      </c>
      <c r="Z527" s="103" t="s">
        <v>102</v>
      </c>
      <c r="AA527" s="103" t="s">
        <v>1860</v>
      </c>
      <c r="AB527" s="103" t="s">
        <v>1812</v>
      </c>
      <c r="AC527" s="103" t="s">
        <v>175</v>
      </c>
      <c r="AD527" s="103">
        <v>171870.0</v>
      </c>
      <c r="AE527" s="103">
        <v>3860.7</v>
      </c>
      <c r="AF527" s="104"/>
      <c r="AG527" s="104"/>
      <c r="AH527" s="100"/>
      <c r="AI527" s="100"/>
      <c r="AJ527" s="100"/>
      <c r="AK527" s="100"/>
    </row>
    <row r="528" hidden="1">
      <c r="A528" s="100"/>
      <c r="B528" s="101">
        <v>45901.0</v>
      </c>
      <c r="C528" s="101">
        <v>45946.0</v>
      </c>
      <c r="D528" s="102">
        <f t="shared" si="11"/>
        <v>0</v>
      </c>
      <c r="E528" s="106" t="s">
        <v>2498</v>
      </c>
      <c r="F528" s="103" t="s">
        <v>2499</v>
      </c>
      <c r="G528" s="130">
        <v>20250.0</v>
      </c>
      <c r="H528" s="106" t="s">
        <v>2408</v>
      </c>
      <c r="I528" s="136">
        <v>3.0</v>
      </c>
      <c r="J528" s="108" t="s">
        <v>1420</v>
      </c>
      <c r="K528" s="109">
        <v>45953.0</v>
      </c>
      <c r="L528" s="107" t="s">
        <v>38</v>
      </c>
      <c r="M528" s="103" t="s">
        <v>2500</v>
      </c>
      <c r="N528" s="103" t="s">
        <v>2501</v>
      </c>
      <c r="O528" s="103" t="s">
        <v>2502</v>
      </c>
      <c r="P528" s="103">
        <v>210237.0</v>
      </c>
      <c r="Q528" s="103" t="s">
        <v>1970</v>
      </c>
      <c r="R528" s="103" t="s">
        <v>1971</v>
      </c>
      <c r="S528" s="103">
        <v>1800.0</v>
      </c>
      <c r="T528" s="104"/>
      <c r="U528" s="139" t="s">
        <v>2503</v>
      </c>
      <c r="V528" s="103" t="s">
        <v>2504</v>
      </c>
      <c r="W528" s="104"/>
      <c r="X528" s="103" t="s">
        <v>1023</v>
      </c>
      <c r="Y528" s="103" t="s">
        <v>120</v>
      </c>
      <c r="Z528" s="103" t="s">
        <v>49</v>
      </c>
      <c r="AA528" s="103" t="s">
        <v>1860</v>
      </c>
      <c r="AB528" s="103" t="s">
        <v>1812</v>
      </c>
      <c r="AC528" s="103" t="s">
        <v>175</v>
      </c>
      <c r="AD528" s="103">
        <v>171987.0</v>
      </c>
      <c r="AE528" s="103">
        <v>8882.35</v>
      </c>
      <c r="AF528" s="104"/>
      <c r="AG528" s="104"/>
      <c r="AH528" s="100"/>
      <c r="AI528" s="100"/>
      <c r="AJ528" s="100"/>
      <c r="AK528" s="100"/>
    </row>
    <row r="529" hidden="1">
      <c r="A529" s="100"/>
      <c r="B529" s="101">
        <v>45938.0</v>
      </c>
      <c r="C529" s="101">
        <v>45949.0</v>
      </c>
      <c r="D529" s="102">
        <f t="shared" si="11"/>
        <v>0</v>
      </c>
      <c r="E529" s="103" t="s">
        <v>2343</v>
      </c>
      <c r="F529" s="103" t="s">
        <v>2505</v>
      </c>
      <c r="G529" s="130">
        <v>16875.0</v>
      </c>
      <c r="H529" s="141" t="s">
        <v>1915</v>
      </c>
      <c r="I529" s="136">
        <v>3.0</v>
      </c>
      <c r="J529" s="108" t="s">
        <v>2051</v>
      </c>
      <c r="K529" s="109">
        <v>45955.0</v>
      </c>
      <c r="L529" s="107" t="s">
        <v>727</v>
      </c>
      <c r="M529" s="103" t="s">
        <v>1160</v>
      </c>
      <c r="N529" s="103" t="s">
        <v>2506</v>
      </c>
      <c r="O529" s="103" t="s">
        <v>2507</v>
      </c>
      <c r="P529" s="103">
        <v>568227.0</v>
      </c>
      <c r="Q529" s="103" t="s">
        <v>477</v>
      </c>
      <c r="R529" s="103" t="s">
        <v>559</v>
      </c>
      <c r="S529" s="103">
        <v>1350.0</v>
      </c>
      <c r="T529" s="104"/>
      <c r="U529" s="139" t="s">
        <v>2508</v>
      </c>
      <c r="V529" s="103" t="s">
        <v>2509</v>
      </c>
      <c r="W529" s="104"/>
      <c r="X529" s="103" t="s">
        <v>1023</v>
      </c>
      <c r="Y529" s="103" t="s">
        <v>120</v>
      </c>
      <c r="Z529" s="103" t="s">
        <v>102</v>
      </c>
      <c r="AA529" s="103" t="s">
        <v>72</v>
      </c>
      <c r="AB529" s="103" t="s">
        <v>2451</v>
      </c>
      <c r="AC529" s="103" t="s">
        <v>175</v>
      </c>
      <c r="AD529" s="103">
        <v>171922.0</v>
      </c>
      <c r="AE529" s="103">
        <v>9275.25</v>
      </c>
      <c r="AF529" s="104"/>
      <c r="AG529" s="104"/>
      <c r="AH529" s="100"/>
      <c r="AI529" s="100"/>
      <c r="AJ529" s="100"/>
      <c r="AK529" s="100"/>
    </row>
    <row r="530" hidden="1">
      <c r="A530" s="100"/>
      <c r="B530" s="101">
        <v>45912.0</v>
      </c>
      <c r="C530" s="143">
        <v>45952.0</v>
      </c>
      <c r="D530" s="102">
        <f t="shared" si="11"/>
        <v>0</v>
      </c>
      <c r="E530" s="130" t="s">
        <v>2137</v>
      </c>
      <c r="F530" s="103" t="s">
        <v>2510</v>
      </c>
      <c r="G530" s="130">
        <v>10687.5</v>
      </c>
      <c r="H530" s="106" t="s">
        <v>2408</v>
      </c>
      <c r="I530" s="107">
        <v>1.0</v>
      </c>
      <c r="J530" s="108" t="s">
        <v>1420</v>
      </c>
      <c r="K530" s="109">
        <v>45952.0</v>
      </c>
      <c r="L530" s="107" t="s">
        <v>2010</v>
      </c>
      <c r="M530" s="110" t="s">
        <v>2454</v>
      </c>
      <c r="N530" s="103">
        <v>2501.0</v>
      </c>
      <c r="O530" s="103" t="s">
        <v>2314</v>
      </c>
      <c r="P530" s="103">
        <v>222861.0</v>
      </c>
      <c r="Q530" s="103" t="s">
        <v>1970</v>
      </c>
      <c r="R530" s="103" t="s">
        <v>2455</v>
      </c>
      <c r="S530" s="103"/>
      <c r="T530" s="111"/>
      <c r="U530" s="139" t="s">
        <v>2511</v>
      </c>
      <c r="V530" s="103" t="s">
        <v>2512</v>
      </c>
      <c r="W530" s="104"/>
      <c r="X530" s="103" t="s">
        <v>1023</v>
      </c>
      <c r="Y530" s="103" t="s">
        <v>48</v>
      </c>
      <c r="Z530" s="103" t="s">
        <v>102</v>
      </c>
      <c r="AA530" s="103" t="s">
        <v>72</v>
      </c>
      <c r="AB530" s="103" t="s">
        <v>1812</v>
      </c>
      <c r="AC530" s="103" t="s">
        <v>175</v>
      </c>
      <c r="AD530" s="103">
        <v>171869.0</v>
      </c>
      <c r="AE530" s="103">
        <v>3829.14</v>
      </c>
      <c r="AF530" s="104"/>
      <c r="AG530" s="104"/>
      <c r="AH530" s="100"/>
      <c r="AI530" s="100"/>
      <c r="AJ530" s="100"/>
      <c r="AK530" s="100"/>
    </row>
    <row r="531" hidden="1">
      <c r="A531" s="100"/>
      <c r="B531" s="101">
        <v>45933.0</v>
      </c>
      <c r="C531" s="143">
        <v>45954.0</v>
      </c>
      <c r="D531" s="102">
        <f t="shared" si="11"/>
        <v>0</v>
      </c>
      <c r="E531" s="130" t="s">
        <v>2137</v>
      </c>
      <c r="F531" s="103" t="s">
        <v>2513</v>
      </c>
      <c r="G531" s="130">
        <v>18450.0</v>
      </c>
      <c r="H531" s="106" t="s">
        <v>2408</v>
      </c>
      <c r="I531" s="136">
        <v>3.0</v>
      </c>
      <c r="J531" s="108" t="s">
        <v>1420</v>
      </c>
      <c r="K531" s="131">
        <v>45963.0</v>
      </c>
      <c r="L531" s="107" t="s">
        <v>2514</v>
      </c>
      <c r="M531" s="103" t="s">
        <v>2515</v>
      </c>
      <c r="N531" s="103" t="s">
        <v>2516</v>
      </c>
      <c r="O531" s="104"/>
      <c r="P531" s="103">
        <v>225672.0</v>
      </c>
      <c r="Q531" s="103" t="s">
        <v>1846</v>
      </c>
      <c r="R531" s="103" t="s">
        <v>178</v>
      </c>
      <c r="S531" s="103">
        <v>1640.0</v>
      </c>
      <c r="T531" s="103">
        <v>225672.0</v>
      </c>
      <c r="U531" s="139" t="s">
        <v>2517</v>
      </c>
      <c r="V531" s="104"/>
      <c r="W531" s="104"/>
      <c r="X531" s="103" t="s">
        <v>1023</v>
      </c>
      <c r="Y531" s="103" t="s">
        <v>48</v>
      </c>
      <c r="Z531" s="103" t="s">
        <v>102</v>
      </c>
      <c r="AA531" s="103" t="s">
        <v>1860</v>
      </c>
      <c r="AB531" s="103" t="s">
        <v>2451</v>
      </c>
      <c r="AC531" s="103" t="s">
        <v>175</v>
      </c>
      <c r="AD531" s="103">
        <v>172519.0</v>
      </c>
      <c r="AE531" s="103">
        <v>10394.73</v>
      </c>
      <c r="AF531" s="104"/>
      <c r="AG531" s="104"/>
      <c r="AH531" s="100"/>
      <c r="AI531" s="100"/>
      <c r="AJ531" s="100"/>
      <c r="AK531" s="100"/>
    </row>
    <row r="532" hidden="1">
      <c r="A532" s="100"/>
      <c r="B532" s="101">
        <v>45943.0</v>
      </c>
      <c r="C532" s="101">
        <v>45964.0</v>
      </c>
      <c r="D532" s="102">
        <f t="shared" si="11"/>
        <v>0</v>
      </c>
      <c r="E532" s="103" t="s">
        <v>2137</v>
      </c>
      <c r="F532" s="103">
        <v>2525626.0</v>
      </c>
      <c r="G532" s="130">
        <v>7238.0</v>
      </c>
      <c r="H532" s="106" t="s">
        <v>2408</v>
      </c>
      <c r="I532" s="136">
        <v>1.0</v>
      </c>
      <c r="J532" s="108" t="s">
        <v>1420</v>
      </c>
      <c r="K532" s="109">
        <v>45972.0</v>
      </c>
      <c r="L532" s="107" t="s">
        <v>38</v>
      </c>
      <c r="M532" s="103" t="s">
        <v>1962</v>
      </c>
      <c r="N532" s="103" t="s">
        <v>2518</v>
      </c>
      <c r="O532" s="103" t="s">
        <v>2519</v>
      </c>
      <c r="P532" s="103">
        <v>660436.0</v>
      </c>
      <c r="Q532" s="103" t="s">
        <v>1970</v>
      </c>
      <c r="R532" s="103" t="s">
        <v>1971</v>
      </c>
      <c r="S532" s="104"/>
      <c r="T532" s="104"/>
      <c r="U532" s="103" t="s">
        <v>2520</v>
      </c>
      <c r="V532" s="104"/>
      <c r="W532" s="104"/>
      <c r="X532" s="103" t="s">
        <v>1023</v>
      </c>
      <c r="Y532" s="103" t="s">
        <v>48</v>
      </c>
      <c r="Z532" s="103" t="s">
        <v>49</v>
      </c>
      <c r="AA532" s="103" t="s">
        <v>1860</v>
      </c>
      <c r="AB532" s="103" t="s">
        <v>138</v>
      </c>
      <c r="AC532" s="103" t="s">
        <v>2361</v>
      </c>
      <c r="AD532" s="103">
        <v>173139.0</v>
      </c>
      <c r="AE532" s="103">
        <v>9325.78</v>
      </c>
      <c r="AF532" s="104"/>
      <c r="AG532" s="104"/>
      <c r="AH532" s="100"/>
      <c r="AI532" s="100"/>
      <c r="AJ532" s="100"/>
      <c r="AK532" s="100"/>
    </row>
    <row r="533" hidden="1">
      <c r="A533" s="100"/>
      <c r="B533" s="101">
        <v>45943.0</v>
      </c>
      <c r="C533" s="101">
        <v>45964.0</v>
      </c>
      <c r="D533" s="102">
        <f t="shared" si="11"/>
        <v>0</v>
      </c>
      <c r="E533" s="103" t="s">
        <v>2521</v>
      </c>
      <c r="F533" s="103">
        <v>2525631.0</v>
      </c>
      <c r="G533" s="130">
        <v>14476.0</v>
      </c>
      <c r="H533" s="106" t="s">
        <v>2408</v>
      </c>
      <c r="I533" s="136">
        <v>2.0</v>
      </c>
      <c r="J533" s="144"/>
      <c r="K533" s="109">
        <v>45970.0</v>
      </c>
      <c r="L533" s="107" t="s">
        <v>38</v>
      </c>
      <c r="M533" s="103" t="s">
        <v>2522</v>
      </c>
      <c r="N533" s="103" t="s">
        <v>2523</v>
      </c>
      <c r="O533" s="103" t="s">
        <v>2524</v>
      </c>
      <c r="P533" s="103">
        <v>660385.0</v>
      </c>
      <c r="Q533" s="103" t="s">
        <v>1970</v>
      </c>
      <c r="R533" s="103" t="s">
        <v>1971</v>
      </c>
      <c r="S533" s="103">
        <v>2325.0</v>
      </c>
      <c r="T533" s="104"/>
      <c r="U533" s="139" t="s">
        <v>2525</v>
      </c>
      <c r="V533" s="104"/>
      <c r="W533" s="104"/>
      <c r="X533" s="103" t="s">
        <v>1023</v>
      </c>
      <c r="Y533" s="103" t="s">
        <v>48</v>
      </c>
      <c r="Z533" s="103" t="s">
        <v>49</v>
      </c>
      <c r="AA533" s="103" t="s">
        <v>1860</v>
      </c>
      <c r="AB533" s="103" t="s">
        <v>138</v>
      </c>
      <c r="AC533" s="103" t="s">
        <v>2361</v>
      </c>
      <c r="AD533" s="103">
        <v>173061.0</v>
      </c>
      <c r="AE533" s="103">
        <v>14114.93</v>
      </c>
      <c r="AF533" s="104"/>
      <c r="AG533" s="104"/>
      <c r="AH533" s="100"/>
      <c r="AI533" s="100"/>
      <c r="AJ533" s="100"/>
      <c r="AK533" s="100"/>
    </row>
    <row r="534" hidden="1">
      <c r="A534" s="100"/>
      <c r="B534" s="101">
        <v>45943.0</v>
      </c>
      <c r="C534" s="101">
        <v>45964.0</v>
      </c>
      <c r="D534" s="102">
        <f t="shared" si="11"/>
        <v>0</v>
      </c>
      <c r="E534" s="103" t="s">
        <v>2498</v>
      </c>
      <c r="F534" s="103">
        <v>2525628.0</v>
      </c>
      <c r="G534" s="130">
        <v>5264.0</v>
      </c>
      <c r="H534" s="106" t="s">
        <v>2408</v>
      </c>
      <c r="I534" s="136">
        <v>1.0</v>
      </c>
      <c r="J534" s="108" t="s">
        <v>1420</v>
      </c>
      <c r="K534" s="109">
        <v>45969.0</v>
      </c>
      <c r="L534" s="107" t="s">
        <v>38</v>
      </c>
      <c r="M534" s="103" t="s">
        <v>2526</v>
      </c>
      <c r="N534" s="103" t="s">
        <v>2527</v>
      </c>
      <c r="O534" s="103" t="s">
        <v>2528</v>
      </c>
      <c r="P534" s="103">
        <v>660424.0</v>
      </c>
      <c r="Q534" s="103" t="s">
        <v>1970</v>
      </c>
      <c r="R534" s="103" t="s">
        <v>1971</v>
      </c>
      <c r="S534" s="103">
        <v>1650.0</v>
      </c>
      <c r="T534" s="104"/>
      <c r="U534" s="103" t="s">
        <v>2529</v>
      </c>
      <c r="V534" s="104"/>
      <c r="W534" s="104"/>
      <c r="X534" s="103" t="s">
        <v>1023</v>
      </c>
      <c r="Y534" s="103" t="s">
        <v>120</v>
      </c>
      <c r="Z534" s="103" t="s">
        <v>49</v>
      </c>
      <c r="AA534" s="103" t="s">
        <v>1860</v>
      </c>
      <c r="AB534" s="103" t="s">
        <v>138</v>
      </c>
      <c r="AC534" s="103" t="s">
        <v>2361</v>
      </c>
      <c r="AD534" s="103">
        <v>173055.0</v>
      </c>
      <c r="AE534" s="103">
        <v>6955.08</v>
      </c>
      <c r="AF534" s="104"/>
      <c r="AG534" s="104"/>
      <c r="AH534" s="100"/>
      <c r="AI534" s="100"/>
      <c r="AJ534" s="100"/>
      <c r="AK534" s="100"/>
    </row>
    <row r="535" hidden="1">
      <c r="A535" s="100"/>
      <c r="B535" s="101">
        <v>45949.0</v>
      </c>
      <c r="C535" s="101">
        <v>45983.0</v>
      </c>
      <c r="D535" s="102">
        <f t="shared" si="11"/>
        <v>0</v>
      </c>
      <c r="E535" s="103" t="s">
        <v>2498</v>
      </c>
      <c r="F535" s="103" t="s">
        <v>2530</v>
      </c>
      <c r="G535" s="130">
        <v>3384.0</v>
      </c>
      <c r="H535" s="106" t="s">
        <v>2408</v>
      </c>
      <c r="I535" s="136">
        <v>1.0</v>
      </c>
      <c r="J535" s="108" t="s">
        <v>1420</v>
      </c>
      <c r="K535" s="109">
        <v>45985.0</v>
      </c>
      <c r="L535" s="107" t="s">
        <v>2531</v>
      </c>
      <c r="M535" s="103" t="s">
        <v>2532</v>
      </c>
      <c r="N535" s="103" t="s">
        <v>2533</v>
      </c>
      <c r="O535" s="104"/>
      <c r="P535" s="103">
        <v>243740.0</v>
      </c>
      <c r="Q535" s="103" t="s">
        <v>1846</v>
      </c>
      <c r="R535" s="103" t="s">
        <v>2105</v>
      </c>
      <c r="S535" s="103">
        <v>900.0</v>
      </c>
      <c r="T535" s="104"/>
      <c r="U535" s="103" t="s">
        <v>2534</v>
      </c>
      <c r="V535" s="103" t="s">
        <v>2535</v>
      </c>
      <c r="W535" s="104"/>
      <c r="X535" s="103" t="s">
        <v>1023</v>
      </c>
      <c r="Y535" s="103" t="s">
        <v>120</v>
      </c>
      <c r="Z535" s="103" t="s">
        <v>49</v>
      </c>
      <c r="AA535" s="103" t="s">
        <v>2396</v>
      </c>
      <c r="AB535" s="103" t="s">
        <v>1824</v>
      </c>
      <c r="AC535" s="103" t="s">
        <v>2361</v>
      </c>
      <c r="AD535" s="103" t="s">
        <v>2536</v>
      </c>
      <c r="AE535" s="103">
        <f>3389.28+34.5</f>
        <v>3423.78</v>
      </c>
      <c r="AF535" s="104"/>
      <c r="AG535" s="104"/>
      <c r="AH535" s="100"/>
      <c r="AI535" s="100"/>
      <c r="AJ535" s="100"/>
      <c r="AK535" s="100"/>
    </row>
    <row r="536" hidden="1">
      <c r="A536" s="100"/>
      <c r="B536" s="101">
        <v>45976.0</v>
      </c>
      <c r="C536" s="101">
        <v>45983.0</v>
      </c>
      <c r="D536" s="102">
        <f t="shared" si="11"/>
        <v>0</v>
      </c>
      <c r="E536" s="103" t="s">
        <v>2343</v>
      </c>
      <c r="F536" s="103" t="s">
        <v>2537</v>
      </c>
      <c r="G536" s="130">
        <v>20250.0</v>
      </c>
      <c r="H536" s="134" t="s">
        <v>1915</v>
      </c>
      <c r="I536" s="136">
        <v>4.0</v>
      </c>
      <c r="J536" s="108" t="s">
        <v>2051</v>
      </c>
      <c r="K536" s="109">
        <v>45990.0</v>
      </c>
      <c r="L536" s="107" t="s">
        <v>2024</v>
      </c>
      <c r="M536" s="103" t="s">
        <v>2538</v>
      </c>
      <c r="N536" s="103" t="s">
        <v>2539</v>
      </c>
      <c r="O536" s="103" t="s">
        <v>2152</v>
      </c>
      <c r="P536" s="103">
        <v>644398.0</v>
      </c>
      <c r="Q536" s="103" t="s">
        <v>477</v>
      </c>
      <c r="R536" s="103" t="s">
        <v>559</v>
      </c>
      <c r="S536" s="103">
        <v>1350.0</v>
      </c>
      <c r="T536" s="104"/>
      <c r="U536" s="103" t="s">
        <v>2540</v>
      </c>
      <c r="V536" s="103">
        <v>3.100114658E9</v>
      </c>
      <c r="W536" s="104"/>
      <c r="X536" s="103" t="s">
        <v>1023</v>
      </c>
      <c r="Y536" s="103" t="s">
        <v>48</v>
      </c>
      <c r="Z536" s="103" t="s">
        <v>102</v>
      </c>
      <c r="AA536" s="103" t="s">
        <v>72</v>
      </c>
      <c r="AB536" s="103" t="s">
        <v>1812</v>
      </c>
      <c r="AC536" s="103" t="s">
        <v>175</v>
      </c>
      <c r="AD536" s="103">
        <v>174291.0</v>
      </c>
      <c r="AE536" s="103">
        <v>12947.44</v>
      </c>
      <c r="AF536" s="104"/>
      <c r="AG536" s="104"/>
      <c r="AH536" s="100"/>
      <c r="AI536" s="100"/>
      <c r="AJ536" s="100"/>
      <c r="AK536" s="100"/>
    </row>
    <row r="537" hidden="1">
      <c r="A537" s="100"/>
      <c r="B537" s="101">
        <v>45976.0</v>
      </c>
      <c r="C537" s="101">
        <v>45983.0</v>
      </c>
      <c r="D537" s="102">
        <f t="shared" si="11"/>
        <v>0</v>
      </c>
      <c r="E537" s="103" t="s">
        <v>2343</v>
      </c>
      <c r="F537" s="103" t="s">
        <v>2541</v>
      </c>
      <c r="G537" s="130">
        <v>20250.0</v>
      </c>
      <c r="H537" s="134" t="s">
        <v>1915</v>
      </c>
      <c r="I537" s="136">
        <v>4.0</v>
      </c>
      <c r="J537" s="108" t="s">
        <v>2051</v>
      </c>
      <c r="K537" s="109">
        <v>45988.0</v>
      </c>
      <c r="L537" s="107" t="s">
        <v>2024</v>
      </c>
      <c r="M537" s="103" t="s">
        <v>2538</v>
      </c>
      <c r="N537" s="103" t="s">
        <v>2542</v>
      </c>
      <c r="O537" s="103" t="s">
        <v>2152</v>
      </c>
      <c r="P537" s="103">
        <v>644380.0</v>
      </c>
      <c r="Q537" s="103" t="s">
        <v>477</v>
      </c>
      <c r="R537" s="103" t="s">
        <v>559</v>
      </c>
      <c r="S537" s="103">
        <v>1350.0</v>
      </c>
      <c r="T537" s="104"/>
      <c r="U537" s="103" t="s">
        <v>2543</v>
      </c>
      <c r="V537" s="103">
        <v>3.100114663E9</v>
      </c>
      <c r="W537" s="104"/>
      <c r="X537" s="103" t="s">
        <v>1023</v>
      </c>
      <c r="Y537" s="103" t="s">
        <v>48</v>
      </c>
      <c r="Z537" s="103" t="s">
        <v>102</v>
      </c>
      <c r="AA537" s="103" t="s">
        <v>72</v>
      </c>
      <c r="AB537" s="103" t="s">
        <v>1812</v>
      </c>
      <c r="AC537" s="103" t="s">
        <v>175</v>
      </c>
      <c r="AD537" s="103" t="s">
        <v>2544</v>
      </c>
      <c r="AE537" s="103">
        <f>12873.44+207</f>
        <v>13080.44</v>
      </c>
      <c r="AF537" s="104"/>
      <c r="AG537" s="104"/>
      <c r="AH537" s="100"/>
      <c r="AI537" s="100"/>
      <c r="AJ537" s="100"/>
      <c r="AK537" s="100"/>
    </row>
    <row r="538" hidden="1">
      <c r="A538" s="100"/>
      <c r="B538" s="101">
        <v>45962.0</v>
      </c>
      <c r="C538" s="101">
        <v>45984.0</v>
      </c>
      <c r="D538" s="102">
        <f t="shared" si="11"/>
        <v>0</v>
      </c>
      <c r="E538" s="103" t="s">
        <v>2498</v>
      </c>
      <c r="F538" s="103" t="s">
        <v>2545</v>
      </c>
      <c r="G538" s="130">
        <v>5156.0</v>
      </c>
      <c r="H538" s="106" t="s">
        <v>2408</v>
      </c>
      <c r="I538" s="136">
        <v>1.0</v>
      </c>
      <c r="J538" s="108" t="s">
        <v>2051</v>
      </c>
      <c r="K538" s="109">
        <v>45985.0</v>
      </c>
      <c r="L538" s="107" t="s">
        <v>2409</v>
      </c>
      <c r="M538" s="103" t="s">
        <v>2546</v>
      </c>
      <c r="N538" s="103">
        <v>81894.0</v>
      </c>
      <c r="O538" s="103">
        <v>43295.0</v>
      </c>
      <c r="P538" s="103">
        <v>691123.0</v>
      </c>
      <c r="Q538" s="103" t="s">
        <v>1970</v>
      </c>
      <c r="R538" s="103" t="s">
        <v>334</v>
      </c>
      <c r="S538" s="103">
        <v>1405.0</v>
      </c>
      <c r="T538" s="104"/>
      <c r="U538" s="103" t="s">
        <v>2547</v>
      </c>
      <c r="V538" s="103" t="s">
        <v>2548</v>
      </c>
      <c r="W538" s="104"/>
      <c r="X538" s="103" t="s">
        <v>1023</v>
      </c>
      <c r="Y538" s="103" t="s">
        <v>120</v>
      </c>
      <c r="Z538" s="103" t="s">
        <v>49</v>
      </c>
      <c r="AA538" s="103" t="s">
        <v>72</v>
      </c>
      <c r="AB538" s="103" t="s">
        <v>2549</v>
      </c>
      <c r="AC538" s="103" t="s">
        <v>2361</v>
      </c>
      <c r="AD538" s="103">
        <v>174093.0</v>
      </c>
      <c r="AE538" s="103">
        <v>4474.92</v>
      </c>
      <c r="AF538" s="104"/>
      <c r="AG538" s="104"/>
      <c r="AH538" s="100"/>
      <c r="AI538" s="100"/>
      <c r="AJ538" s="100"/>
      <c r="AK538" s="100"/>
    </row>
    <row r="539" hidden="1">
      <c r="A539" s="100"/>
      <c r="B539" s="101">
        <v>45961.0</v>
      </c>
      <c r="C539" s="101">
        <v>45984.0</v>
      </c>
      <c r="D539" s="102">
        <f t="shared" si="11"/>
        <v>0</v>
      </c>
      <c r="E539" s="103" t="s">
        <v>2498</v>
      </c>
      <c r="F539" s="103">
        <v>2527695.0</v>
      </c>
      <c r="G539" s="130">
        <v>6204.0</v>
      </c>
      <c r="H539" s="106" t="s">
        <v>2408</v>
      </c>
      <c r="I539" s="136">
        <v>1.0</v>
      </c>
      <c r="J539" s="108" t="s">
        <v>1420</v>
      </c>
      <c r="K539" s="109">
        <v>45988.0</v>
      </c>
      <c r="L539" s="107" t="s">
        <v>38</v>
      </c>
      <c r="M539" s="103" t="s">
        <v>2522</v>
      </c>
      <c r="N539" s="103" t="s">
        <v>2550</v>
      </c>
      <c r="O539" s="103" t="s">
        <v>2524</v>
      </c>
      <c r="P539" s="103">
        <v>246171.0</v>
      </c>
      <c r="Q539" s="103" t="s">
        <v>1970</v>
      </c>
      <c r="R539" s="103" t="s">
        <v>1971</v>
      </c>
      <c r="S539" s="103"/>
      <c r="T539" s="104"/>
      <c r="U539" s="103" t="s">
        <v>2551</v>
      </c>
      <c r="V539" s="104"/>
      <c r="W539" s="104"/>
      <c r="X539" s="103" t="s">
        <v>1023</v>
      </c>
      <c r="Y539" s="103" t="s">
        <v>120</v>
      </c>
      <c r="Z539" s="103" t="s">
        <v>49</v>
      </c>
      <c r="AA539" s="103" t="s">
        <v>1860</v>
      </c>
      <c r="AB539" s="103" t="s">
        <v>138</v>
      </c>
      <c r="AC539" s="103" t="s">
        <v>175</v>
      </c>
      <c r="AD539" s="103">
        <v>174412.0</v>
      </c>
      <c r="AE539" s="103">
        <v>3397.18</v>
      </c>
      <c r="AF539" s="104"/>
      <c r="AG539" s="104"/>
      <c r="AH539" s="100"/>
      <c r="AI539" s="100"/>
      <c r="AJ539" s="100"/>
      <c r="AK539" s="100"/>
    </row>
    <row r="540" hidden="1">
      <c r="A540" s="100"/>
      <c r="B540" s="101">
        <v>45957.0</v>
      </c>
      <c r="C540" s="101">
        <v>45986.0</v>
      </c>
      <c r="D540" s="102">
        <f t="shared" si="11"/>
        <v>0</v>
      </c>
      <c r="E540" s="103" t="s">
        <v>2498</v>
      </c>
      <c r="F540" s="103" t="s">
        <v>2552</v>
      </c>
      <c r="G540" s="130">
        <v>7125.0</v>
      </c>
      <c r="H540" s="106" t="s">
        <v>2408</v>
      </c>
      <c r="I540" s="136">
        <v>1.0</v>
      </c>
      <c r="J540" s="108" t="s">
        <v>1420</v>
      </c>
      <c r="K540" s="109">
        <v>45992.0</v>
      </c>
      <c r="L540" s="107" t="s">
        <v>2553</v>
      </c>
      <c r="M540" s="103" t="s">
        <v>2554</v>
      </c>
      <c r="N540" s="103" t="s">
        <v>2555</v>
      </c>
      <c r="O540" s="103" t="s">
        <v>2556</v>
      </c>
      <c r="P540" s="103">
        <v>251663.0</v>
      </c>
      <c r="Q540" s="103" t="s">
        <v>1846</v>
      </c>
      <c r="R540" s="103" t="s">
        <v>178</v>
      </c>
      <c r="S540" s="103">
        <v>1400.0</v>
      </c>
      <c r="T540" s="104"/>
      <c r="U540" s="103" t="s">
        <v>2557</v>
      </c>
      <c r="V540" s="103" t="s">
        <v>2558</v>
      </c>
      <c r="W540" s="104"/>
      <c r="X540" s="103" t="s">
        <v>1023</v>
      </c>
      <c r="Y540" s="103" t="s">
        <v>48</v>
      </c>
      <c r="Z540" s="103" t="s">
        <v>49</v>
      </c>
      <c r="AA540" s="103" t="s">
        <v>72</v>
      </c>
      <c r="AB540" s="103" t="s">
        <v>2451</v>
      </c>
      <c r="AC540" s="103" t="s">
        <v>2361</v>
      </c>
      <c r="AD540" s="103">
        <v>174650.0</v>
      </c>
      <c r="AE540" s="103">
        <v>3954.3</v>
      </c>
      <c r="AF540" s="104"/>
      <c r="AG540" s="104"/>
      <c r="AH540" s="100"/>
      <c r="AI540" s="100"/>
      <c r="AJ540" s="100"/>
      <c r="AK540" s="100"/>
    </row>
    <row r="541" hidden="1">
      <c r="A541" s="100"/>
      <c r="B541" s="101">
        <v>45977.0</v>
      </c>
      <c r="C541" s="101">
        <v>45986.0</v>
      </c>
      <c r="D541" s="102">
        <f t="shared" si="11"/>
        <v>0</v>
      </c>
      <c r="E541" s="130" t="s">
        <v>2128</v>
      </c>
      <c r="F541" s="103" t="s">
        <v>2559</v>
      </c>
      <c r="G541" s="130">
        <v>29812.5</v>
      </c>
      <c r="H541" s="134" t="s">
        <v>1165</v>
      </c>
      <c r="I541" s="136">
        <v>6.0</v>
      </c>
      <c r="J541" s="108" t="s">
        <v>2051</v>
      </c>
      <c r="K541" s="109">
        <v>45994.0</v>
      </c>
      <c r="L541" s="107" t="s">
        <v>2024</v>
      </c>
      <c r="M541" s="103" t="s">
        <v>2560</v>
      </c>
      <c r="N541" s="103" t="s">
        <v>2561</v>
      </c>
      <c r="O541" s="103" t="s">
        <v>2562</v>
      </c>
      <c r="P541" s="103">
        <v>653070.0</v>
      </c>
      <c r="Q541" s="103" t="s">
        <v>477</v>
      </c>
      <c r="R541" s="103" t="s">
        <v>559</v>
      </c>
      <c r="S541" s="103">
        <v>1325.0</v>
      </c>
      <c r="T541" s="104"/>
      <c r="U541" s="103" t="s">
        <v>2563</v>
      </c>
      <c r="V541" s="103">
        <v>3.100114727E9</v>
      </c>
      <c r="W541" s="104"/>
      <c r="X541" s="103" t="s">
        <v>1023</v>
      </c>
      <c r="Y541" s="103" t="s">
        <v>48</v>
      </c>
      <c r="Z541" s="103" t="s">
        <v>102</v>
      </c>
      <c r="AA541" s="103" t="s">
        <v>72</v>
      </c>
      <c r="AB541" s="103" t="s">
        <v>1812</v>
      </c>
      <c r="AC541" s="103" t="s">
        <v>175</v>
      </c>
      <c r="AD541" s="103">
        <v>174377.0</v>
      </c>
      <c r="AE541" s="103">
        <v>35764.85</v>
      </c>
      <c r="AF541" s="104"/>
      <c r="AG541" s="104"/>
      <c r="AH541" s="100"/>
      <c r="AI541" s="100"/>
      <c r="AJ541" s="100"/>
      <c r="AK541" s="100"/>
    </row>
    <row r="542" hidden="1">
      <c r="A542" s="100"/>
      <c r="B542" s="145">
        <v>45964.0</v>
      </c>
      <c r="C542" s="101">
        <v>45989.0</v>
      </c>
      <c r="D542" s="102">
        <f t="shared" si="11"/>
        <v>0</v>
      </c>
      <c r="E542" s="130" t="s">
        <v>2128</v>
      </c>
      <c r="F542" s="103">
        <v>157362.0</v>
      </c>
      <c r="G542" s="130">
        <v>14664.0</v>
      </c>
      <c r="H542" s="134" t="s">
        <v>1165</v>
      </c>
      <c r="I542" s="136">
        <v>2.0</v>
      </c>
      <c r="J542" s="108" t="s">
        <v>2051</v>
      </c>
      <c r="K542" s="109">
        <v>45999.0</v>
      </c>
      <c r="L542" s="107" t="s">
        <v>250</v>
      </c>
      <c r="M542" s="103" t="s">
        <v>1791</v>
      </c>
      <c r="N542" s="103" t="s">
        <v>2564</v>
      </c>
      <c r="O542" s="103" t="s">
        <v>2565</v>
      </c>
      <c r="P542" s="103">
        <v>705330.0</v>
      </c>
      <c r="Q542" s="103" t="s">
        <v>1970</v>
      </c>
      <c r="R542" s="103" t="s">
        <v>1971</v>
      </c>
      <c r="S542" s="103">
        <v>1950.0</v>
      </c>
      <c r="T542" s="104"/>
      <c r="U542" s="103" t="s">
        <v>2566</v>
      </c>
      <c r="V542" s="103" t="s">
        <v>2567</v>
      </c>
      <c r="W542" s="104"/>
      <c r="X542" s="103" t="s">
        <v>1023</v>
      </c>
      <c r="Y542" s="103" t="s">
        <v>48</v>
      </c>
      <c r="Z542" s="103" t="s">
        <v>49</v>
      </c>
      <c r="AA542" s="103" t="s">
        <v>1860</v>
      </c>
      <c r="AB542" s="103" t="s">
        <v>1928</v>
      </c>
      <c r="AC542" s="103" t="s">
        <v>175</v>
      </c>
      <c r="AD542" s="103">
        <v>174863.0</v>
      </c>
      <c r="AE542" s="103">
        <v>10134.05</v>
      </c>
      <c r="AF542" s="104"/>
      <c r="AG542" s="104"/>
      <c r="AH542" s="100"/>
      <c r="AI542" s="100"/>
      <c r="AJ542" s="100"/>
      <c r="AK542" s="100"/>
    </row>
    <row r="543" hidden="1">
      <c r="A543" s="100"/>
      <c r="B543" s="101">
        <v>45985.0</v>
      </c>
      <c r="C543" s="101">
        <v>45993.0</v>
      </c>
      <c r="D543" s="102">
        <f t="shared" si="11"/>
        <v>0</v>
      </c>
      <c r="E543" s="103" t="s">
        <v>2343</v>
      </c>
      <c r="F543" s="103" t="s">
        <v>2568</v>
      </c>
      <c r="G543" s="130">
        <v>28500.0</v>
      </c>
      <c r="H543" s="134" t="s">
        <v>1915</v>
      </c>
      <c r="I543" s="136">
        <v>4.0</v>
      </c>
      <c r="J543" s="108" t="s">
        <v>2051</v>
      </c>
      <c r="K543" s="109">
        <v>45997.0</v>
      </c>
      <c r="L543" s="107" t="s">
        <v>2569</v>
      </c>
      <c r="M543" s="103" t="s">
        <v>2570</v>
      </c>
      <c r="N543" s="103" t="s">
        <v>2571</v>
      </c>
      <c r="O543" s="103" t="s">
        <v>2572</v>
      </c>
      <c r="P543" s="103">
        <v>670153.0</v>
      </c>
      <c r="Q543" s="103" t="s">
        <v>1280</v>
      </c>
      <c r="R543" s="103" t="s">
        <v>1959</v>
      </c>
      <c r="S543" s="103">
        <v>1900.0</v>
      </c>
      <c r="T543" s="104"/>
      <c r="U543" s="103" t="s">
        <v>2573</v>
      </c>
      <c r="V543" s="103"/>
      <c r="W543" s="104"/>
      <c r="X543" s="103" t="s">
        <v>1023</v>
      </c>
      <c r="Y543" s="103" t="s">
        <v>48</v>
      </c>
      <c r="Z543" s="103" t="s">
        <v>102</v>
      </c>
      <c r="AA543" s="103" t="s">
        <v>72</v>
      </c>
      <c r="AB543" s="103" t="s">
        <v>1812</v>
      </c>
      <c r="AC543" s="103" t="s">
        <v>175</v>
      </c>
      <c r="AD543" s="103">
        <v>174748.0</v>
      </c>
      <c r="AE543" s="103">
        <v>12197.0</v>
      </c>
      <c r="AF543" s="104"/>
      <c r="AG543" s="104"/>
      <c r="AH543" s="100"/>
      <c r="AI543" s="100"/>
      <c r="AJ543" s="100"/>
      <c r="AK543" s="100"/>
    </row>
    <row r="544" hidden="1">
      <c r="A544" s="100"/>
      <c r="B544" s="101">
        <v>45971.0</v>
      </c>
      <c r="C544" s="101">
        <v>45994.0</v>
      </c>
      <c r="D544" s="102">
        <f t="shared" si="11"/>
        <v>0</v>
      </c>
      <c r="E544" s="130" t="s">
        <v>2128</v>
      </c>
      <c r="F544" s="103" t="s">
        <v>2574</v>
      </c>
      <c r="G544" s="130">
        <v>24843.75</v>
      </c>
      <c r="H544" s="134" t="s">
        <v>1165</v>
      </c>
      <c r="I544" s="136">
        <v>5.0</v>
      </c>
      <c r="J544" s="108" t="s">
        <v>2051</v>
      </c>
      <c r="K544" s="109">
        <v>45997.0</v>
      </c>
      <c r="L544" s="107" t="s">
        <v>2024</v>
      </c>
      <c r="M544" s="103" t="s">
        <v>2560</v>
      </c>
      <c r="N544" s="103" t="s">
        <v>2575</v>
      </c>
      <c r="O544" s="146" t="s">
        <v>2562</v>
      </c>
      <c r="P544" s="146">
        <v>666532.0</v>
      </c>
      <c r="Q544" s="146" t="s">
        <v>477</v>
      </c>
      <c r="R544" s="146" t="s">
        <v>2576</v>
      </c>
      <c r="S544" s="146">
        <v>1325.0</v>
      </c>
      <c r="T544" s="104"/>
      <c r="U544" s="103" t="s">
        <v>2577</v>
      </c>
      <c r="V544" s="103">
        <v>3.100115765E9</v>
      </c>
      <c r="W544" s="104"/>
      <c r="X544" s="103" t="s">
        <v>1023</v>
      </c>
      <c r="Y544" s="103" t="s">
        <v>48</v>
      </c>
      <c r="Z544" s="103" t="s">
        <v>102</v>
      </c>
      <c r="AA544" s="103" t="s">
        <v>970</v>
      </c>
      <c r="AB544" s="103" t="s">
        <v>2451</v>
      </c>
      <c r="AC544" s="103" t="s">
        <v>175</v>
      </c>
      <c r="AD544" s="103" t="s">
        <v>2578</v>
      </c>
      <c r="AE544" s="103">
        <f>30002.64+30</f>
        <v>30032.64</v>
      </c>
      <c r="AF544" s="104"/>
      <c r="AG544" s="104"/>
      <c r="AH544" s="100"/>
      <c r="AI544" s="100"/>
      <c r="AJ544" s="100"/>
      <c r="AK544" s="100"/>
    </row>
    <row r="545" hidden="1">
      <c r="A545" s="100"/>
      <c r="B545" s="101">
        <v>45981.0</v>
      </c>
      <c r="C545" s="101">
        <v>46003.0</v>
      </c>
      <c r="D545" s="102">
        <f t="shared" si="11"/>
        <v>0</v>
      </c>
      <c r="E545" s="130" t="s">
        <v>2128</v>
      </c>
      <c r="F545" s="103">
        <v>158472.0</v>
      </c>
      <c r="G545" s="130">
        <v>7332.0</v>
      </c>
      <c r="H545" s="134" t="s">
        <v>1165</v>
      </c>
      <c r="I545" s="136">
        <v>1.0</v>
      </c>
      <c r="J545" s="108" t="s">
        <v>2051</v>
      </c>
      <c r="K545" s="109">
        <v>46009.0</v>
      </c>
      <c r="L545" s="107" t="s">
        <v>250</v>
      </c>
      <c r="M545" s="103" t="s">
        <v>2579</v>
      </c>
      <c r="N545" s="103" t="s">
        <v>2580</v>
      </c>
      <c r="O545" s="103" t="s">
        <v>2565</v>
      </c>
      <c r="P545" s="103">
        <v>751850.0</v>
      </c>
      <c r="Q545" s="103" t="s">
        <v>1970</v>
      </c>
      <c r="R545" s="103" t="s">
        <v>1971</v>
      </c>
      <c r="S545" s="103">
        <v>1950.0</v>
      </c>
      <c r="T545" s="104"/>
      <c r="U545" s="103" t="s">
        <v>2581</v>
      </c>
      <c r="V545" s="103" t="s">
        <v>2582</v>
      </c>
      <c r="W545" s="104"/>
      <c r="X545" s="103" t="s">
        <v>1023</v>
      </c>
      <c r="Y545" s="103" t="s">
        <v>48</v>
      </c>
      <c r="Z545" s="103" t="s">
        <v>49</v>
      </c>
      <c r="AA545" s="103" t="s">
        <v>1860</v>
      </c>
      <c r="AB545" s="103" t="s">
        <v>1928</v>
      </c>
      <c r="AC545" s="103" t="s">
        <v>175</v>
      </c>
      <c r="AD545" s="103">
        <v>175649.0</v>
      </c>
      <c r="AE545" s="103">
        <v>5180.05</v>
      </c>
      <c r="AF545" s="104"/>
      <c r="AG545" s="104"/>
      <c r="AH545" s="100"/>
      <c r="AI545" s="100"/>
      <c r="AJ545" s="100"/>
      <c r="AK545" s="100"/>
    </row>
    <row r="546" hidden="1">
      <c r="A546" s="100"/>
      <c r="B546" s="101">
        <v>45976.0</v>
      </c>
      <c r="C546" s="101">
        <v>46006.0</v>
      </c>
      <c r="D546" s="102">
        <f t="shared" si="11"/>
        <v>0</v>
      </c>
      <c r="E546" s="130" t="s">
        <v>2128</v>
      </c>
      <c r="F546" s="103">
        <v>44248.0</v>
      </c>
      <c r="G546" s="130">
        <v>6937.5</v>
      </c>
      <c r="H546" s="134" t="s">
        <v>1165</v>
      </c>
      <c r="I546" s="136">
        <v>1.0</v>
      </c>
      <c r="J546" s="108" t="s">
        <v>1420</v>
      </c>
      <c r="K546" s="109">
        <v>46012.0</v>
      </c>
      <c r="L546" s="107" t="s">
        <v>53</v>
      </c>
      <c r="M546" s="103" t="s">
        <v>2583</v>
      </c>
      <c r="N546" s="103" t="s">
        <v>2584</v>
      </c>
      <c r="O546" s="103" t="s">
        <v>2585</v>
      </c>
      <c r="P546" s="103">
        <v>756825.0</v>
      </c>
      <c r="Q546" s="103" t="s">
        <v>1846</v>
      </c>
      <c r="R546" s="103" t="s">
        <v>1847</v>
      </c>
      <c r="S546" s="103"/>
      <c r="T546" s="104"/>
      <c r="U546" s="103" t="s">
        <v>2586</v>
      </c>
      <c r="V546" s="104"/>
      <c r="W546" s="104"/>
      <c r="X546" s="103" t="s">
        <v>1023</v>
      </c>
      <c r="Y546" s="103" t="s">
        <v>48</v>
      </c>
      <c r="Z546" s="103" t="s">
        <v>49</v>
      </c>
      <c r="AA546" s="103" t="s">
        <v>72</v>
      </c>
      <c r="AB546" s="103" t="s">
        <v>2587</v>
      </c>
      <c r="AC546" s="103" t="s">
        <v>2361</v>
      </c>
      <c r="AD546" s="103">
        <v>175846.0</v>
      </c>
      <c r="AE546" s="103">
        <v>6608.56</v>
      </c>
      <c r="AF546" s="104"/>
      <c r="AG546" s="104"/>
      <c r="AH546" s="100"/>
      <c r="AI546" s="100"/>
      <c r="AJ546" s="100"/>
      <c r="AK546" s="100"/>
    </row>
    <row r="547" hidden="1">
      <c r="A547" s="100"/>
      <c r="B547" s="101">
        <v>45947.0</v>
      </c>
      <c r="C547" s="101">
        <v>46009.0</v>
      </c>
      <c r="D547" s="102">
        <f t="shared" si="11"/>
        <v>0</v>
      </c>
      <c r="E547" s="103" t="s">
        <v>2343</v>
      </c>
      <c r="F547" s="103">
        <v>45725.0</v>
      </c>
      <c r="G547" s="130">
        <v>16361.25</v>
      </c>
      <c r="H547" s="134" t="s">
        <v>1915</v>
      </c>
      <c r="I547" s="136">
        <v>1.0</v>
      </c>
      <c r="J547" s="108" t="s">
        <v>2051</v>
      </c>
      <c r="K547" s="109">
        <v>46011.0</v>
      </c>
      <c r="L547" s="107" t="s">
        <v>242</v>
      </c>
      <c r="M547" s="103" t="s">
        <v>2588</v>
      </c>
      <c r="N547" s="103">
        <v>9.0608504E7</v>
      </c>
      <c r="O547" s="103">
        <v>11159.0</v>
      </c>
      <c r="P547" s="103">
        <v>701774.0</v>
      </c>
      <c r="Q547" s="103" t="s">
        <v>246</v>
      </c>
      <c r="R547" s="103" t="s">
        <v>2589</v>
      </c>
      <c r="S547" s="104"/>
      <c r="T547" s="104"/>
      <c r="U547" s="103" t="s">
        <v>2590</v>
      </c>
      <c r="V547" s="103" t="s">
        <v>2591</v>
      </c>
      <c r="W547" s="104"/>
      <c r="X547" s="103" t="s">
        <v>1023</v>
      </c>
      <c r="Y547" s="103" t="s">
        <v>48</v>
      </c>
      <c r="Z547" s="103" t="s">
        <v>102</v>
      </c>
      <c r="AA547" s="103" t="s">
        <v>72</v>
      </c>
      <c r="AB547" s="103" t="s">
        <v>1410</v>
      </c>
      <c r="AC547" s="103" t="s">
        <v>175</v>
      </c>
      <c r="AD547" s="103">
        <v>175737.0</v>
      </c>
      <c r="AE547" s="103">
        <v>2959.66</v>
      </c>
      <c r="AF547" s="104"/>
      <c r="AG547" s="104"/>
      <c r="AH547" s="100"/>
      <c r="AI547" s="100"/>
      <c r="AJ547" s="100"/>
      <c r="AK547" s="100"/>
    </row>
    <row r="548" hidden="1">
      <c r="A548" s="100"/>
      <c r="B548" s="101">
        <v>45979.0</v>
      </c>
      <c r="C548" s="101">
        <v>46009.0</v>
      </c>
      <c r="D548" s="102">
        <f t="shared" si="11"/>
        <v>0</v>
      </c>
      <c r="E548" s="103" t="s">
        <v>2137</v>
      </c>
      <c r="F548" s="103" t="s">
        <v>2592</v>
      </c>
      <c r="G548" s="130">
        <v>5076.0</v>
      </c>
      <c r="H548" s="134" t="s">
        <v>2408</v>
      </c>
      <c r="I548" s="136">
        <v>1.0</v>
      </c>
      <c r="J548" s="108" t="s">
        <v>1420</v>
      </c>
      <c r="K548" s="109">
        <v>46013.0</v>
      </c>
      <c r="L548" s="107" t="s">
        <v>38</v>
      </c>
      <c r="M548" s="103" t="s">
        <v>2593</v>
      </c>
      <c r="N548" s="103" t="s">
        <v>2594</v>
      </c>
      <c r="O548" s="103" t="s">
        <v>2595</v>
      </c>
      <c r="P548" s="103">
        <v>759638.0</v>
      </c>
      <c r="Q548" s="103" t="s">
        <v>1970</v>
      </c>
      <c r="R548" s="103" t="s">
        <v>1971</v>
      </c>
      <c r="S548" s="103">
        <v>1350.0</v>
      </c>
      <c r="T548" s="104"/>
      <c r="U548" s="103" t="s">
        <v>2596</v>
      </c>
      <c r="V548" s="103" t="s">
        <v>2597</v>
      </c>
      <c r="W548" s="104"/>
      <c r="X548" s="103" t="s">
        <v>1023</v>
      </c>
      <c r="Y548" s="103" t="s">
        <v>120</v>
      </c>
      <c r="Z548" s="103" t="s">
        <v>49</v>
      </c>
      <c r="AA548" s="103" t="s">
        <v>1860</v>
      </c>
      <c r="AB548" s="103" t="s">
        <v>1824</v>
      </c>
      <c r="AC548" s="103" t="s">
        <v>175</v>
      </c>
      <c r="AD548" s="103">
        <v>175925.0</v>
      </c>
      <c r="AE548" s="103">
        <v>5726.92</v>
      </c>
      <c r="AF548" s="104"/>
      <c r="AG548" s="104"/>
      <c r="AH548" s="100"/>
      <c r="AI548" s="100"/>
      <c r="AJ548" s="100"/>
      <c r="AK548" s="100"/>
    </row>
    <row r="549" hidden="1">
      <c r="A549" s="100"/>
      <c r="B549" s="101">
        <v>45942.0</v>
      </c>
      <c r="C549" s="101">
        <v>46009.0</v>
      </c>
      <c r="D549" s="102">
        <f t="shared" si="11"/>
        <v>0</v>
      </c>
      <c r="E549" s="130" t="s">
        <v>2128</v>
      </c>
      <c r="F549" s="103" t="s">
        <v>2598</v>
      </c>
      <c r="G549" s="130">
        <v>73125.0</v>
      </c>
      <c r="H549" s="134" t="s">
        <v>1165</v>
      </c>
      <c r="I549" s="136">
        <v>3.0</v>
      </c>
      <c r="J549" s="108" t="s">
        <v>2051</v>
      </c>
      <c r="K549" s="109">
        <v>46019.0</v>
      </c>
      <c r="L549" s="107" t="s">
        <v>2010</v>
      </c>
      <c r="M549" s="103" t="s">
        <v>2599</v>
      </c>
      <c r="N549" s="103" t="s">
        <v>2600</v>
      </c>
      <c r="O549" s="103" t="s">
        <v>2601</v>
      </c>
      <c r="P549" s="103">
        <v>698468.0</v>
      </c>
      <c r="Q549" s="103" t="s">
        <v>2013</v>
      </c>
      <c r="R549" s="103" t="s">
        <v>2014</v>
      </c>
      <c r="S549" s="103">
        <v>6500.0</v>
      </c>
      <c r="T549" s="104"/>
      <c r="U549" s="103" t="s">
        <v>2602</v>
      </c>
      <c r="V549" s="103" t="s">
        <v>2603</v>
      </c>
      <c r="W549" s="104"/>
      <c r="X549" s="103" t="s">
        <v>1023</v>
      </c>
      <c r="Y549" s="103" t="s">
        <v>48</v>
      </c>
      <c r="Z549" s="103" t="s">
        <v>102</v>
      </c>
      <c r="AA549" s="103" t="s">
        <v>72</v>
      </c>
      <c r="AB549" s="103" t="s">
        <v>2549</v>
      </c>
      <c r="AC549" s="103" t="s">
        <v>175</v>
      </c>
      <c r="AD549" s="103">
        <v>176151.0</v>
      </c>
      <c r="AE549" s="103">
        <v>18100.38</v>
      </c>
      <c r="AF549" s="104"/>
      <c r="AG549" s="104"/>
      <c r="AH549" s="100"/>
      <c r="AI549" s="100"/>
      <c r="AJ549" s="100"/>
      <c r="AK549" s="100"/>
    </row>
    <row r="550" hidden="1">
      <c r="A550" s="100"/>
      <c r="B550" s="101">
        <v>45993.0</v>
      </c>
      <c r="C550" s="101">
        <v>46011.0</v>
      </c>
      <c r="D550" s="102">
        <f t="shared" si="11"/>
        <v>0</v>
      </c>
      <c r="E550" s="130" t="s">
        <v>2128</v>
      </c>
      <c r="F550" s="103" t="s">
        <v>2604</v>
      </c>
      <c r="G550" s="130">
        <v>29812.5</v>
      </c>
      <c r="H550" s="134" t="s">
        <v>1165</v>
      </c>
      <c r="I550" s="136">
        <v>6.0</v>
      </c>
      <c r="J550" s="108" t="s">
        <v>2051</v>
      </c>
      <c r="K550" s="109">
        <v>46018.0</v>
      </c>
      <c r="L550" s="107" t="s">
        <v>2024</v>
      </c>
      <c r="M550" s="103" t="s">
        <v>2605</v>
      </c>
      <c r="N550" s="103" t="s">
        <v>2606</v>
      </c>
      <c r="O550" s="103" t="s">
        <v>2607</v>
      </c>
      <c r="P550" s="103">
        <v>714283.0</v>
      </c>
      <c r="Q550" s="103" t="s">
        <v>2608</v>
      </c>
      <c r="R550" s="103" t="s">
        <v>2153</v>
      </c>
      <c r="S550" s="103">
        <v>1325.0</v>
      </c>
      <c r="T550" s="104"/>
      <c r="U550" s="103" t="s">
        <v>2609</v>
      </c>
      <c r="V550" s="103" t="s">
        <v>2610</v>
      </c>
      <c r="W550" s="104"/>
      <c r="X550" s="103" t="s">
        <v>1023</v>
      </c>
      <c r="Y550" s="103" t="s">
        <v>48</v>
      </c>
      <c r="Z550" s="103" t="s">
        <v>102</v>
      </c>
      <c r="AA550" s="103" t="s">
        <v>72</v>
      </c>
      <c r="AB550" s="103" t="s">
        <v>1812</v>
      </c>
      <c r="AC550" s="103" t="s">
        <v>2361</v>
      </c>
      <c r="AD550" s="103" t="s">
        <v>2611</v>
      </c>
      <c r="AE550" s="103">
        <f>35370+69</f>
        <v>35439</v>
      </c>
      <c r="AF550" s="104"/>
      <c r="AG550" s="104"/>
      <c r="AH550" s="100"/>
      <c r="AI550" s="100"/>
      <c r="AJ550" s="100"/>
      <c r="AK550" s="100"/>
    </row>
    <row r="551" hidden="1">
      <c r="A551" s="100"/>
      <c r="B551" s="101">
        <v>45995.0</v>
      </c>
      <c r="C551" s="101">
        <v>46011.0</v>
      </c>
      <c r="D551" s="102">
        <f t="shared" si="11"/>
        <v>0</v>
      </c>
      <c r="E551" s="130" t="s">
        <v>2128</v>
      </c>
      <c r="F551" s="103" t="s">
        <v>2612</v>
      </c>
      <c r="G551" s="130">
        <v>38700.0</v>
      </c>
      <c r="H551" s="134" t="s">
        <v>1165</v>
      </c>
      <c r="I551" s="136">
        <v>4.0</v>
      </c>
      <c r="J551" s="108" t="s">
        <v>2051</v>
      </c>
      <c r="K551" s="109">
        <v>46014.0</v>
      </c>
      <c r="L551" s="107" t="s">
        <v>250</v>
      </c>
      <c r="M551" s="103" t="s">
        <v>2613</v>
      </c>
      <c r="N551" s="103" t="s">
        <v>2614</v>
      </c>
      <c r="O551" s="103" t="s">
        <v>2615</v>
      </c>
      <c r="P551" s="103">
        <v>705663.0</v>
      </c>
      <c r="Q551" s="103" t="s">
        <v>1196</v>
      </c>
      <c r="R551" s="103" t="s">
        <v>603</v>
      </c>
      <c r="S551" s="104"/>
      <c r="T551" s="104"/>
      <c r="U551" s="103" t="s">
        <v>2616</v>
      </c>
      <c r="V551" s="103" t="s">
        <v>2617</v>
      </c>
      <c r="W551" s="104"/>
      <c r="X551" s="103" t="s">
        <v>1023</v>
      </c>
      <c r="Y551" s="103" t="s">
        <v>48</v>
      </c>
      <c r="Z551" s="103" t="s">
        <v>102</v>
      </c>
      <c r="AA551" s="103" t="s">
        <v>72</v>
      </c>
      <c r="AB551" s="103" t="s">
        <v>1812</v>
      </c>
      <c r="AC551" s="103" t="s">
        <v>175</v>
      </c>
      <c r="AD551" s="103">
        <v>175878.0</v>
      </c>
      <c r="AE551" s="103">
        <v>23761.5</v>
      </c>
      <c r="AF551" s="104"/>
      <c r="AG551" s="104"/>
      <c r="AH551" s="100"/>
      <c r="AI551" s="100"/>
      <c r="AJ551" s="100"/>
      <c r="AK551" s="100"/>
    </row>
    <row r="552" hidden="1">
      <c r="A552" s="100"/>
      <c r="B552" s="101">
        <v>46003.0</v>
      </c>
      <c r="C552" s="101">
        <v>46027.0</v>
      </c>
      <c r="D552" s="102">
        <f t="shared" si="11"/>
        <v>0</v>
      </c>
      <c r="E552" s="130" t="s">
        <v>2128</v>
      </c>
      <c r="F552" s="103" t="s">
        <v>2618</v>
      </c>
      <c r="G552" s="130">
        <v>27600.0</v>
      </c>
      <c r="H552" s="134" t="s">
        <v>1165</v>
      </c>
      <c r="I552" s="136">
        <v>4.0</v>
      </c>
      <c r="J552" s="108" t="s">
        <v>2051</v>
      </c>
      <c r="K552" s="109">
        <v>46036.0</v>
      </c>
      <c r="L552" s="107" t="s">
        <v>1890</v>
      </c>
      <c r="M552" s="103" t="s">
        <v>2619</v>
      </c>
      <c r="N552" s="103" t="s">
        <v>2620</v>
      </c>
      <c r="O552" s="103" t="s">
        <v>2621</v>
      </c>
      <c r="P552" s="103">
        <v>11206.0</v>
      </c>
      <c r="Q552" s="103" t="s">
        <v>148</v>
      </c>
      <c r="R552" s="103" t="s">
        <v>254</v>
      </c>
      <c r="S552" s="104"/>
      <c r="T552" s="104"/>
      <c r="U552" s="103" t="s">
        <v>2622</v>
      </c>
      <c r="V552" s="103" t="s">
        <v>2623</v>
      </c>
      <c r="W552" s="104"/>
      <c r="X552" s="103" t="s">
        <v>1023</v>
      </c>
      <c r="Y552" s="103" t="s">
        <v>48</v>
      </c>
      <c r="Z552" s="103" t="s">
        <v>102</v>
      </c>
      <c r="AA552" s="103" t="s">
        <v>1860</v>
      </c>
      <c r="AB552" s="103" t="s">
        <v>1812</v>
      </c>
      <c r="AC552" s="103" t="s">
        <v>2361</v>
      </c>
      <c r="AD552" s="103">
        <v>177405.0</v>
      </c>
      <c r="AE552" s="103">
        <v>24122.04</v>
      </c>
      <c r="AF552" s="104"/>
      <c r="AG552" s="104"/>
      <c r="AH552" s="100"/>
      <c r="AI552" s="100"/>
      <c r="AJ552" s="100"/>
      <c r="AK552" s="100"/>
    </row>
    <row r="553" hidden="1">
      <c r="A553" s="100"/>
      <c r="B553" s="101">
        <v>46015.0</v>
      </c>
      <c r="C553" s="101">
        <v>46032.0</v>
      </c>
      <c r="D553" s="102">
        <f t="shared" si="11"/>
        <v>0</v>
      </c>
      <c r="E553" s="103" t="s">
        <v>2343</v>
      </c>
      <c r="F553" s="103" t="s">
        <v>2624</v>
      </c>
      <c r="G553" s="130">
        <v>29812.5</v>
      </c>
      <c r="H553" s="134" t="s">
        <v>1915</v>
      </c>
      <c r="I553" s="136">
        <v>6.0</v>
      </c>
      <c r="J553" s="108" t="s">
        <v>2051</v>
      </c>
      <c r="K553" s="109">
        <v>46039.0</v>
      </c>
      <c r="L553" s="107" t="s">
        <v>2024</v>
      </c>
      <c r="M553" s="103" t="s">
        <v>2625</v>
      </c>
      <c r="N553" s="103" t="s">
        <v>2626</v>
      </c>
      <c r="O553" s="103" t="s">
        <v>2627</v>
      </c>
      <c r="P553" s="103">
        <v>26641.0</v>
      </c>
      <c r="Q553" s="103" t="s">
        <v>477</v>
      </c>
      <c r="R553" s="103" t="s">
        <v>2153</v>
      </c>
      <c r="S553" s="104"/>
      <c r="T553" s="104"/>
      <c r="U553" s="103" t="s">
        <v>2628</v>
      </c>
      <c r="V553" s="103" t="s">
        <v>2629</v>
      </c>
      <c r="W553" s="104"/>
      <c r="X553" s="103" t="s">
        <v>1023</v>
      </c>
      <c r="Y553" s="103" t="s">
        <v>48</v>
      </c>
      <c r="Z553" s="103" t="s">
        <v>102</v>
      </c>
      <c r="AA553" s="103" t="s">
        <v>72</v>
      </c>
      <c r="AB553" s="103" t="s">
        <v>1812</v>
      </c>
      <c r="AC553" s="103" t="s">
        <v>2361</v>
      </c>
      <c r="AD553" s="103">
        <v>177614.0</v>
      </c>
      <c r="AE553" s="103">
        <v>18457.5</v>
      </c>
      <c r="AF553" s="104"/>
      <c r="AG553" s="104"/>
      <c r="AH553" s="100"/>
      <c r="AI553" s="100"/>
      <c r="AJ553" s="100"/>
      <c r="AK553" s="100"/>
    </row>
    <row r="554" hidden="1">
      <c r="A554" s="100"/>
      <c r="B554" s="101">
        <v>46012.0</v>
      </c>
      <c r="C554" s="101">
        <v>46032.0</v>
      </c>
      <c r="D554" s="102">
        <f t="shared" si="11"/>
        <v>0</v>
      </c>
      <c r="E554" s="103" t="s">
        <v>2137</v>
      </c>
      <c r="F554" s="103" t="s">
        <v>2630</v>
      </c>
      <c r="G554" s="130">
        <v>7896.0</v>
      </c>
      <c r="H554" s="134" t="s">
        <v>2408</v>
      </c>
      <c r="I554" s="136">
        <v>1.0</v>
      </c>
      <c r="J554" s="108" t="s">
        <v>2051</v>
      </c>
      <c r="K554" s="109">
        <v>46039.0</v>
      </c>
      <c r="L554" s="107" t="s">
        <v>2010</v>
      </c>
      <c r="M554" s="103" t="s">
        <v>2631</v>
      </c>
      <c r="N554" s="103">
        <v>2.025000005968E12</v>
      </c>
      <c r="O554" s="103" t="s">
        <v>2268</v>
      </c>
      <c r="P554" s="103">
        <v>23620.0</v>
      </c>
      <c r="Q554" s="103" t="s">
        <v>1970</v>
      </c>
      <c r="R554" s="103" t="s">
        <v>2632</v>
      </c>
      <c r="S554" s="103"/>
      <c r="T554" s="104"/>
      <c r="U554" s="103" t="s">
        <v>2633</v>
      </c>
      <c r="V554" s="103" t="s">
        <v>2634</v>
      </c>
      <c r="W554" s="104"/>
      <c r="X554" s="103" t="s">
        <v>1023</v>
      </c>
      <c r="Y554" s="103" t="s">
        <v>48</v>
      </c>
      <c r="Z554" s="103" t="s">
        <v>102</v>
      </c>
      <c r="AA554" s="103" t="s">
        <v>1860</v>
      </c>
      <c r="AB554" s="103" t="s">
        <v>2635</v>
      </c>
      <c r="AC554" s="103" t="s">
        <v>2361</v>
      </c>
      <c r="AD554" s="103">
        <v>177723.0</v>
      </c>
      <c r="AE554" s="103">
        <v>5117.63</v>
      </c>
      <c r="AF554" s="104"/>
      <c r="AG554" s="104"/>
      <c r="AH554" s="100"/>
      <c r="AI554" s="100"/>
      <c r="AJ554" s="100"/>
      <c r="AK554" s="100"/>
    </row>
    <row r="555" hidden="1">
      <c r="A555" s="100"/>
      <c r="B555" s="101">
        <v>45681.0</v>
      </c>
      <c r="C555" s="101">
        <v>46032.0</v>
      </c>
      <c r="D555" s="102">
        <f t="shared" si="11"/>
        <v>0</v>
      </c>
      <c r="E555" s="103" t="s">
        <v>2343</v>
      </c>
      <c r="F555" s="103" t="s">
        <v>2636</v>
      </c>
      <c r="G555" s="130">
        <v>29812.5</v>
      </c>
      <c r="H555" s="134" t="s">
        <v>1915</v>
      </c>
      <c r="I555" s="136">
        <v>6.0</v>
      </c>
      <c r="J555" s="108" t="s">
        <v>2051</v>
      </c>
      <c r="K555" s="109">
        <v>46037.0</v>
      </c>
      <c r="L555" s="107" t="s">
        <v>2024</v>
      </c>
      <c r="M555" s="103" t="s">
        <v>2625</v>
      </c>
      <c r="N555" s="103" t="s">
        <v>2637</v>
      </c>
      <c r="O555" s="103" t="s">
        <v>2627</v>
      </c>
      <c r="P555" s="103">
        <v>26743.0</v>
      </c>
      <c r="Q555" s="103" t="s">
        <v>477</v>
      </c>
      <c r="R555" s="103" t="s">
        <v>2153</v>
      </c>
      <c r="S555" s="104"/>
      <c r="T555" s="104"/>
      <c r="U555" s="103" t="s">
        <v>2638</v>
      </c>
      <c r="V555" s="103" t="s">
        <v>2639</v>
      </c>
      <c r="W555" s="104"/>
      <c r="X555" s="103" t="s">
        <v>1023</v>
      </c>
      <c r="Y555" s="103" t="s">
        <v>48</v>
      </c>
      <c r="Z555" s="103" t="s">
        <v>102</v>
      </c>
      <c r="AA555" s="103" t="s">
        <v>72</v>
      </c>
      <c r="AB555" s="103" t="s">
        <v>1812</v>
      </c>
      <c r="AC555" s="103" t="s">
        <v>2361</v>
      </c>
      <c r="AD555" s="103">
        <v>177844.0</v>
      </c>
      <c r="AE555" s="103">
        <v>18489.5</v>
      </c>
      <c r="AF555" s="104"/>
      <c r="AG555" s="104"/>
      <c r="AH555" s="100"/>
      <c r="AI555" s="100"/>
      <c r="AJ555" s="100"/>
      <c r="AK555" s="100"/>
    </row>
    <row r="556" hidden="1">
      <c r="A556" s="100"/>
      <c r="B556" s="101">
        <v>46022.0</v>
      </c>
      <c r="C556" s="101">
        <v>46033.0</v>
      </c>
      <c r="D556" s="102">
        <f t="shared" si="11"/>
        <v>0</v>
      </c>
      <c r="E556" s="130" t="s">
        <v>2128</v>
      </c>
      <c r="F556" s="103" t="s">
        <v>2640</v>
      </c>
      <c r="G556" s="130">
        <v>19479.0</v>
      </c>
      <c r="H556" s="134" t="s">
        <v>1165</v>
      </c>
      <c r="I556" s="136">
        <v>2.0</v>
      </c>
      <c r="J556" s="108" t="s">
        <v>2051</v>
      </c>
      <c r="K556" s="109">
        <v>46039.0</v>
      </c>
      <c r="L556" s="107" t="s">
        <v>250</v>
      </c>
      <c r="M556" s="103" t="s">
        <v>2641</v>
      </c>
      <c r="N556" s="103" t="s">
        <v>2642</v>
      </c>
      <c r="O556" s="103" t="s">
        <v>2615</v>
      </c>
      <c r="P556" s="103">
        <v>23370.0</v>
      </c>
      <c r="Q556" s="103" t="s">
        <v>1196</v>
      </c>
      <c r="R556" s="103" t="s">
        <v>603</v>
      </c>
      <c r="S556" s="103"/>
      <c r="T556" s="104"/>
      <c r="U556" s="103" t="s">
        <v>2643</v>
      </c>
      <c r="V556" s="103" t="s">
        <v>2644</v>
      </c>
      <c r="W556" s="104"/>
      <c r="X556" s="103" t="s">
        <v>1023</v>
      </c>
      <c r="Y556" s="103" t="s">
        <v>48</v>
      </c>
      <c r="Z556" s="103" t="s">
        <v>102</v>
      </c>
      <c r="AA556" s="103" t="s">
        <v>72</v>
      </c>
      <c r="AB556" s="103" t="s">
        <v>1812</v>
      </c>
      <c r="AC556" s="103" t="s">
        <v>2361</v>
      </c>
      <c r="AD556" s="103">
        <v>177843.0</v>
      </c>
      <c r="AE556" s="103">
        <v>11666.0</v>
      </c>
      <c r="AF556" s="104"/>
      <c r="AG556" s="104"/>
      <c r="AH556" s="100"/>
      <c r="AI556" s="100"/>
      <c r="AJ556" s="100"/>
      <c r="AK556" s="100"/>
    </row>
    <row r="557" hidden="1">
      <c r="A557" s="100"/>
      <c r="B557" s="101">
        <v>46032.0</v>
      </c>
      <c r="C557" s="101">
        <v>46047.0</v>
      </c>
      <c r="D557" s="102">
        <f t="shared" si="11"/>
        <v>0</v>
      </c>
      <c r="E557" s="130" t="s">
        <v>2128</v>
      </c>
      <c r="F557" s="103" t="s">
        <v>2645</v>
      </c>
      <c r="G557" s="130">
        <v>25867.18</v>
      </c>
      <c r="H557" s="134" t="s">
        <v>1165</v>
      </c>
      <c r="I557" s="136">
        <v>5.0</v>
      </c>
      <c r="J557" s="108" t="s">
        <v>2051</v>
      </c>
      <c r="K557" s="109">
        <v>46053.0</v>
      </c>
      <c r="L557" s="107" t="s">
        <v>2024</v>
      </c>
      <c r="M557" s="104"/>
      <c r="N557" s="103" t="s">
        <v>2646</v>
      </c>
      <c r="O557" s="103" t="s">
        <v>2647</v>
      </c>
      <c r="P557" s="103">
        <v>57961.0</v>
      </c>
      <c r="Q557" s="103" t="s">
        <v>477</v>
      </c>
      <c r="R557" s="103" t="s">
        <v>559</v>
      </c>
      <c r="S557" s="104"/>
      <c r="T557" s="104"/>
      <c r="U557" s="103" t="s">
        <v>2648</v>
      </c>
      <c r="V557" s="103" t="s">
        <v>2649</v>
      </c>
      <c r="W557" s="104"/>
      <c r="X557" s="103" t="s">
        <v>1023</v>
      </c>
      <c r="Y557" s="103" t="s">
        <v>48</v>
      </c>
      <c r="Z557" s="103" t="s">
        <v>102</v>
      </c>
      <c r="AA557" s="103" t="s">
        <v>72</v>
      </c>
      <c r="AB557" s="103" t="s">
        <v>1812</v>
      </c>
      <c r="AC557" s="103" t="s">
        <v>2361</v>
      </c>
      <c r="AD557" s="103">
        <v>178864.0</v>
      </c>
      <c r="AE557" s="103">
        <v>29583.25</v>
      </c>
      <c r="AF557" s="104"/>
      <c r="AG557" s="104"/>
      <c r="AH557" s="100"/>
      <c r="AI557" s="100"/>
      <c r="AJ557" s="100"/>
      <c r="AK557" s="100"/>
    </row>
    <row r="558" hidden="1">
      <c r="A558" s="100"/>
      <c r="B558" s="101">
        <v>46004.0</v>
      </c>
      <c r="C558" s="101">
        <v>46053.0</v>
      </c>
      <c r="D558" s="102">
        <f t="shared" si="11"/>
        <v>0</v>
      </c>
      <c r="E558" s="107" t="s">
        <v>2128</v>
      </c>
      <c r="F558" s="103" t="s">
        <v>2650</v>
      </c>
      <c r="G558" s="130">
        <v>84375.0</v>
      </c>
      <c r="H558" s="134" t="s">
        <v>1165</v>
      </c>
      <c r="I558" s="136">
        <v>9.0</v>
      </c>
      <c r="J558" s="108" t="s">
        <v>1420</v>
      </c>
      <c r="K558" s="109">
        <v>46067.0</v>
      </c>
      <c r="L558" s="107" t="s">
        <v>38</v>
      </c>
      <c r="M558" s="103" t="s">
        <v>2651</v>
      </c>
      <c r="N558" s="103" t="s">
        <v>2652</v>
      </c>
      <c r="O558" s="103" t="s">
        <v>2653</v>
      </c>
      <c r="P558" s="103">
        <v>23017.0</v>
      </c>
      <c r="Q558" s="103" t="s">
        <v>1846</v>
      </c>
      <c r="R558" s="103" t="s">
        <v>2654</v>
      </c>
      <c r="S558" s="104"/>
      <c r="T558" s="104"/>
      <c r="U558" s="103" t="s">
        <v>2655</v>
      </c>
      <c r="V558" s="104"/>
      <c r="W558" s="104"/>
      <c r="X558" s="103" t="s">
        <v>1023</v>
      </c>
      <c r="Y558" s="103" t="s">
        <v>120</v>
      </c>
      <c r="Z558" s="103" t="s">
        <v>49</v>
      </c>
      <c r="AA558" s="103" t="s">
        <v>72</v>
      </c>
      <c r="AB558" s="103" t="s">
        <v>1812</v>
      </c>
      <c r="AC558" s="103" t="s">
        <v>2361</v>
      </c>
      <c r="AD558" s="103" t="s">
        <v>2656</v>
      </c>
      <c r="AE558" s="103">
        <f>26408.02+138</f>
        <v>26546.02</v>
      </c>
      <c r="AF558" s="104"/>
      <c r="AG558" s="104"/>
      <c r="AH558" s="100"/>
      <c r="AI558" s="100"/>
      <c r="AJ558" s="100"/>
      <c r="AK558" s="100"/>
    </row>
    <row r="559" hidden="1">
      <c r="A559" s="100"/>
      <c r="B559" s="101">
        <v>46032.0</v>
      </c>
      <c r="C559" s="101">
        <v>46057.0</v>
      </c>
      <c r="D559" s="102">
        <f t="shared" si="11"/>
        <v>0</v>
      </c>
      <c r="E559" s="107" t="s">
        <v>2128</v>
      </c>
      <c r="F559" s="103" t="s">
        <v>2657</v>
      </c>
      <c r="G559" s="130">
        <v>12220.0</v>
      </c>
      <c r="H559" s="134" t="s">
        <v>1165</v>
      </c>
      <c r="I559" s="136">
        <v>2.0</v>
      </c>
      <c r="J559" s="108" t="s">
        <v>1420</v>
      </c>
      <c r="K559" s="109">
        <v>46060.0</v>
      </c>
      <c r="L559" s="107" t="s">
        <v>38</v>
      </c>
      <c r="M559" s="103" t="s">
        <v>1350</v>
      </c>
      <c r="N559" s="103" t="s">
        <v>2658</v>
      </c>
      <c r="O559" s="103" t="s">
        <v>2659</v>
      </c>
      <c r="P559" s="103">
        <v>86461.0</v>
      </c>
      <c r="Q559" s="103" t="s">
        <v>1970</v>
      </c>
      <c r="R559" s="103" t="s">
        <v>1971</v>
      </c>
      <c r="S559" s="104"/>
      <c r="T559" s="104"/>
      <c r="U559" s="103" t="s">
        <v>2660</v>
      </c>
      <c r="V559" s="104"/>
      <c r="W559" s="104"/>
      <c r="X559" s="103" t="s">
        <v>1023</v>
      </c>
      <c r="Y559" s="103" t="s">
        <v>48</v>
      </c>
      <c r="Z559" s="103" t="s">
        <v>49</v>
      </c>
      <c r="AA559" s="103" t="s">
        <v>1860</v>
      </c>
      <c r="AB559" s="103" t="s">
        <v>1824</v>
      </c>
      <c r="AC559" s="103" t="s">
        <v>175</v>
      </c>
      <c r="AD559" s="103">
        <v>179335.0</v>
      </c>
      <c r="AE559" s="103">
        <v>9432.12</v>
      </c>
      <c r="AF559" s="104"/>
      <c r="AG559" s="104"/>
      <c r="AH559" s="100"/>
      <c r="AI559" s="100"/>
      <c r="AJ559" s="100"/>
      <c r="AK559" s="100"/>
    </row>
    <row r="560" hidden="1">
      <c r="A560" s="100"/>
      <c r="B560" s="101">
        <v>46015.0</v>
      </c>
      <c r="C560" s="101">
        <v>46060.0</v>
      </c>
      <c r="D560" s="102">
        <f t="shared" si="11"/>
        <v>0</v>
      </c>
      <c r="E560" s="107" t="s">
        <v>2128</v>
      </c>
      <c r="F560" s="103" t="s">
        <v>2661</v>
      </c>
      <c r="G560" s="130">
        <v>7406.25</v>
      </c>
      <c r="H560" s="134" t="s">
        <v>1165</v>
      </c>
      <c r="I560" s="136">
        <v>1.0</v>
      </c>
      <c r="J560" s="108" t="s">
        <v>1420</v>
      </c>
      <c r="K560" s="109">
        <v>46065.0</v>
      </c>
      <c r="L560" s="107" t="s">
        <v>38</v>
      </c>
      <c r="M560" s="103" t="s">
        <v>2662</v>
      </c>
      <c r="N560" s="103" t="s">
        <v>2663</v>
      </c>
      <c r="O560" s="103" t="s">
        <v>2664</v>
      </c>
      <c r="P560" s="103">
        <v>105434.0</v>
      </c>
      <c r="Q560" s="103" t="s">
        <v>1846</v>
      </c>
      <c r="R560" s="103" t="s">
        <v>111</v>
      </c>
      <c r="S560" s="104"/>
      <c r="T560" s="104"/>
      <c r="U560" s="103" t="s">
        <v>2665</v>
      </c>
      <c r="V560" s="103">
        <v>1.40503243597E11</v>
      </c>
      <c r="W560" s="104"/>
      <c r="X560" s="103" t="s">
        <v>1023</v>
      </c>
      <c r="Y560" s="103" t="s">
        <v>120</v>
      </c>
      <c r="Z560" s="103" t="s">
        <v>49</v>
      </c>
      <c r="AA560" s="103" t="s">
        <v>1860</v>
      </c>
      <c r="AB560" s="103" t="s">
        <v>687</v>
      </c>
      <c r="AC560" s="103" t="s">
        <v>2361</v>
      </c>
      <c r="AD560" s="103">
        <v>179964.0</v>
      </c>
      <c r="AE560" s="103">
        <v>4557.13</v>
      </c>
      <c r="AF560" s="104"/>
      <c r="AG560" s="104"/>
      <c r="AH560" s="100"/>
      <c r="AI560" s="100"/>
      <c r="AJ560" s="100"/>
      <c r="AK560" s="100"/>
    </row>
    <row r="561" hidden="1">
      <c r="A561" s="100"/>
      <c r="B561" s="101">
        <v>46011.0</v>
      </c>
      <c r="C561" s="101">
        <v>46060.0</v>
      </c>
      <c r="D561" s="102">
        <f t="shared" si="11"/>
        <v>0</v>
      </c>
      <c r="E561" s="141" t="s">
        <v>2128</v>
      </c>
      <c r="F561" s="103" t="s">
        <v>2666</v>
      </c>
      <c r="G561" s="130">
        <v>7406.25</v>
      </c>
      <c r="H561" s="134" t="s">
        <v>1165</v>
      </c>
      <c r="I561" s="136">
        <v>1.0</v>
      </c>
      <c r="J561" s="108" t="s">
        <v>1420</v>
      </c>
      <c r="K561" s="109">
        <v>46065.0</v>
      </c>
      <c r="L561" s="107" t="s">
        <v>38</v>
      </c>
      <c r="M561" s="103" t="s">
        <v>2667</v>
      </c>
      <c r="N561" s="103" t="s">
        <v>2668</v>
      </c>
      <c r="O561" s="103" t="s">
        <v>2669</v>
      </c>
      <c r="P561" s="103">
        <v>105450.0</v>
      </c>
      <c r="Q561" s="103" t="s">
        <v>1846</v>
      </c>
      <c r="R561" s="103" t="s">
        <v>111</v>
      </c>
      <c r="S561" s="104"/>
      <c r="T561" s="104"/>
      <c r="U561" s="103" t="s">
        <v>2670</v>
      </c>
      <c r="V561" s="103">
        <v>1.40503243732E11</v>
      </c>
      <c r="W561" s="104"/>
      <c r="X561" s="103" t="s">
        <v>1023</v>
      </c>
      <c r="Y561" s="103" t="s">
        <v>120</v>
      </c>
      <c r="Z561" s="103" t="s">
        <v>49</v>
      </c>
      <c r="AA561" s="103" t="s">
        <v>1860</v>
      </c>
      <c r="AB561" s="103" t="s">
        <v>687</v>
      </c>
      <c r="AC561" s="103" t="s">
        <v>2361</v>
      </c>
      <c r="AD561" s="103">
        <v>179961.0</v>
      </c>
      <c r="AE561" s="103">
        <v>4557.13</v>
      </c>
      <c r="AF561" s="104"/>
      <c r="AG561" s="104"/>
      <c r="AH561" s="100"/>
      <c r="AI561" s="100"/>
      <c r="AJ561" s="100"/>
      <c r="AK561" s="100"/>
    </row>
    <row r="562" hidden="1">
      <c r="A562" s="100"/>
      <c r="B562" s="101">
        <v>46037.0</v>
      </c>
      <c r="C562" s="101">
        <v>46061.0</v>
      </c>
      <c r="D562" s="102">
        <f t="shared" si="11"/>
        <v>0</v>
      </c>
      <c r="E562" s="141" t="s">
        <v>2128</v>
      </c>
      <c r="F562" s="103" t="s">
        <v>2671</v>
      </c>
      <c r="G562" s="130">
        <v>2972.37</v>
      </c>
      <c r="H562" s="134" t="s">
        <v>1165</v>
      </c>
      <c r="I562" s="136">
        <v>1.0</v>
      </c>
      <c r="J562" s="108" t="s">
        <v>2051</v>
      </c>
      <c r="K562" s="109">
        <v>46067.0</v>
      </c>
      <c r="L562" s="107" t="s">
        <v>145</v>
      </c>
      <c r="M562" s="103" t="s">
        <v>2672</v>
      </c>
      <c r="N562" s="103" t="s">
        <v>2673</v>
      </c>
      <c r="O562" s="103" t="s">
        <v>2674</v>
      </c>
      <c r="P562" s="103">
        <v>83378.0</v>
      </c>
      <c r="Q562" s="103" t="s">
        <v>148</v>
      </c>
      <c r="R562" s="103" t="s">
        <v>149</v>
      </c>
      <c r="S562" s="104"/>
      <c r="T562" s="104"/>
      <c r="U562" s="103" t="s">
        <v>2675</v>
      </c>
      <c r="V562" s="104"/>
      <c r="W562" s="104"/>
      <c r="X562" s="103" t="s">
        <v>1023</v>
      </c>
      <c r="Y562" s="103" t="s">
        <v>120</v>
      </c>
      <c r="Z562" s="103" t="s">
        <v>49</v>
      </c>
      <c r="AA562" s="103" t="s">
        <v>72</v>
      </c>
      <c r="AB562" s="103" t="s">
        <v>1812</v>
      </c>
      <c r="AC562" s="103" t="s">
        <v>175</v>
      </c>
      <c r="AD562" s="103" t="s">
        <v>2676</v>
      </c>
      <c r="AE562" s="103">
        <f>5871.25+34.5</f>
        <v>5905.75</v>
      </c>
      <c r="AF562" s="104"/>
      <c r="AG562" s="104"/>
      <c r="AH562" s="100"/>
      <c r="AI562" s="100"/>
      <c r="AJ562" s="100"/>
      <c r="AK562" s="100"/>
    </row>
    <row r="563" hidden="1">
      <c r="A563" s="100"/>
      <c r="B563" s="101">
        <v>46034.0</v>
      </c>
      <c r="C563" s="101">
        <v>46061.0</v>
      </c>
      <c r="D563" s="102">
        <f t="shared" si="11"/>
        <v>0</v>
      </c>
      <c r="E563" s="107" t="s">
        <v>2128</v>
      </c>
      <c r="F563" s="103" t="s">
        <v>2677</v>
      </c>
      <c r="G563" s="130">
        <v>10384.5</v>
      </c>
      <c r="H563" s="134" t="s">
        <v>1165</v>
      </c>
      <c r="I563" s="136">
        <v>3.0</v>
      </c>
      <c r="J563" s="108" t="s">
        <v>2051</v>
      </c>
      <c r="K563" s="109">
        <v>46064.0</v>
      </c>
      <c r="L563" s="107" t="s">
        <v>145</v>
      </c>
      <c r="M563" s="103" t="s">
        <v>2678</v>
      </c>
      <c r="N563" s="103" t="s">
        <v>2679</v>
      </c>
      <c r="O563" s="103" t="s">
        <v>2674</v>
      </c>
      <c r="P563" s="103">
        <v>83262.0</v>
      </c>
      <c r="Q563" s="103" t="s">
        <v>148</v>
      </c>
      <c r="R563" s="103" t="s">
        <v>149</v>
      </c>
      <c r="S563" s="104"/>
      <c r="T563" s="104"/>
      <c r="U563" s="103" t="s">
        <v>2680</v>
      </c>
      <c r="V563" s="103" t="s">
        <v>2681</v>
      </c>
      <c r="W563" s="104"/>
      <c r="X563" s="103" t="s">
        <v>1023</v>
      </c>
      <c r="Y563" s="103" t="s">
        <v>48</v>
      </c>
      <c r="Z563" s="103" t="s">
        <v>49</v>
      </c>
      <c r="AA563" s="103" t="s">
        <v>72</v>
      </c>
      <c r="AB563" s="103" t="s">
        <v>1812</v>
      </c>
      <c r="AC563" s="103" t="s">
        <v>2361</v>
      </c>
      <c r="AD563" s="103">
        <v>179831.0</v>
      </c>
      <c r="AE563" s="103">
        <v>17760.75</v>
      </c>
      <c r="AF563" s="104"/>
      <c r="AG563" s="104"/>
      <c r="AH563" s="100"/>
      <c r="AI563" s="100"/>
      <c r="AJ563" s="100"/>
      <c r="AK563" s="100"/>
    </row>
    <row r="564" hidden="1">
      <c r="A564" s="100"/>
      <c r="B564" s="101">
        <v>46040.0</v>
      </c>
      <c r="C564" s="101">
        <v>46061.0</v>
      </c>
      <c r="D564" s="102">
        <f t="shared" si="11"/>
        <v>0</v>
      </c>
      <c r="E564" s="107" t="s">
        <v>2128</v>
      </c>
      <c r="F564" s="103" t="s">
        <v>2682</v>
      </c>
      <c r="G564" s="130">
        <v>5461.0</v>
      </c>
      <c r="H564" s="134" t="s">
        <v>1165</v>
      </c>
      <c r="I564" s="136">
        <v>1.0</v>
      </c>
      <c r="J564" s="108" t="s">
        <v>2051</v>
      </c>
      <c r="K564" s="109">
        <v>46068.0</v>
      </c>
      <c r="L564" s="107" t="s">
        <v>590</v>
      </c>
      <c r="M564" s="103" t="s">
        <v>2683</v>
      </c>
      <c r="N564" s="103">
        <v>9.0008984E7</v>
      </c>
      <c r="O564" s="133" t="s">
        <v>2684</v>
      </c>
      <c r="P564" s="103">
        <v>93757.0</v>
      </c>
      <c r="Q564" s="133" t="s">
        <v>171</v>
      </c>
      <c r="R564" s="133" t="s">
        <v>2685</v>
      </c>
      <c r="S564" s="100"/>
      <c r="T564" s="104"/>
      <c r="U564" s="103" t="s">
        <v>2686</v>
      </c>
      <c r="V564" s="103" t="s">
        <v>2687</v>
      </c>
      <c r="W564" s="104"/>
      <c r="X564" s="103" t="s">
        <v>47</v>
      </c>
      <c r="Y564" s="103" t="s">
        <v>120</v>
      </c>
      <c r="Z564" s="103" t="s">
        <v>102</v>
      </c>
      <c r="AA564" s="103" t="s">
        <v>72</v>
      </c>
      <c r="AB564" s="103" t="s">
        <v>2549</v>
      </c>
      <c r="AC564" s="103" t="s">
        <v>2361</v>
      </c>
      <c r="AD564" s="103">
        <v>180325.0</v>
      </c>
      <c r="AE564" s="103">
        <v>5843.75</v>
      </c>
      <c r="AF564" s="104"/>
      <c r="AG564" s="104"/>
      <c r="AH564" s="100"/>
      <c r="AI564" s="100"/>
      <c r="AJ564" s="100"/>
      <c r="AK564" s="100"/>
    </row>
    <row r="565" hidden="1">
      <c r="A565" s="100"/>
      <c r="B565" s="101">
        <v>46032.0</v>
      </c>
      <c r="C565" s="101">
        <v>46062.0</v>
      </c>
      <c r="D565" s="102">
        <f t="shared" si="11"/>
        <v>0</v>
      </c>
      <c r="E565" s="107" t="s">
        <v>2128</v>
      </c>
      <c r="F565" s="103">
        <v>48850.0</v>
      </c>
      <c r="G565" s="130">
        <v>11981.25</v>
      </c>
      <c r="H565" s="134" t="s">
        <v>1165</v>
      </c>
      <c r="I565" s="136">
        <v>1.0</v>
      </c>
      <c r="J565" s="108" t="s">
        <v>1420</v>
      </c>
      <c r="K565" s="109">
        <v>46068.0</v>
      </c>
      <c r="L565" s="107" t="s">
        <v>38</v>
      </c>
      <c r="M565" s="103" t="s">
        <v>2688</v>
      </c>
      <c r="N565" s="103" t="s">
        <v>2689</v>
      </c>
      <c r="O565" s="103" t="s">
        <v>2690</v>
      </c>
      <c r="P565" s="103">
        <v>105471.0</v>
      </c>
      <c r="Q565" s="103" t="s">
        <v>1846</v>
      </c>
      <c r="R565" s="103" t="s">
        <v>111</v>
      </c>
      <c r="S565" s="104"/>
      <c r="T565" s="104"/>
      <c r="U565" s="103" t="s">
        <v>2691</v>
      </c>
      <c r="V565" s="103" t="s">
        <v>2692</v>
      </c>
      <c r="W565" s="104"/>
      <c r="X565" s="103" t="s">
        <v>47</v>
      </c>
      <c r="Y565" s="103" t="s">
        <v>48</v>
      </c>
      <c r="Z565" s="103" t="s">
        <v>102</v>
      </c>
      <c r="AA565" s="103" t="s">
        <v>72</v>
      </c>
      <c r="AB565" s="103" t="s">
        <v>2693</v>
      </c>
      <c r="AC565" s="103" t="s">
        <v>2361</v>
      </c>
      <c r="AD565" s="103">
        <v>179889.0</v>
      </c>
      <c r="AE565" s="103">
        <v>6403.26</v>
      </c>
      <c r="AF565" s="104"/>
      <c r="AG565" s="104"/>
      <c r="AH565" s="100"/>
      <c r="AI565" s="100"/>
      <c r="AJ565" s="100"/>
      <c r="AK565" s="100"/>
    </row>
    <row r="566" hidden="1">
      <c r="A566" s="100"/>
      <c r="B566" s="147">
        <v>46010.0</v>
      </c>
      <c r="C566" s="147">
        <v>46064.0</v>
      </c>
      <c r="D566" s="148">
        <f t="shared" si="11"/>
        <v>0</v>
      </c>
      <c r="E566" s="149" t="s">
        <v>2128</v>
      </c>
      <c r="F566" s="103" t="s">
        <v>2694</v>
      </c>
      <c r="G566" s="130">
        <v>29025.0</v>
      </c>
      <c r="H566" s="150" t="s">
        <v>1165</v>
      </c>
      <c r="I566" s="151">
        <v>3.0</v>
      </c>
      <c r="J566" s="152" t="s">
        <v>2051</v>
      </c>
      <c r="K566" s="153">
        <v>46069.0</v>
      </c>
      <c r="L566" s="149" t="s">
        <v>2569</v>
      </c>
      <c r="M566" s="154"/>
      <c r="N566" s="155" t="s">
        <v>2695</v>
      </c>
      <c r="O566" s="155" t="s">
        <v>2572</v>
      </c>
      <c r="P566" s="155">
        <v>72026.0</v>
      </c>
      <c r="Q566" s="155" t="s">
        <v>1280</v>
      </c>
      <c r="R566" s="155" t="s">
        <v>1959</v>
      </c>
      <c r="S566" s="104"/>
      <c r="T566" s="104"/>
      <c r="U566" s="103" t="s">
        <v>2696</v>
      </c>
      <c r="V566" s="104"/>
      <c r="W566" s="104"/>
      <c r="X566" s="103" t="s">
        <v>1023</v>
      </c>
      <c r="Y566" s="103" t="s">
        <v>48</v>
      </c>
      <c r="Z566" s="103" t="s">
        <v>102</v>
      </c>
      <c r="AA566" s="103" t="s">
        <v>970</v>
      </c>
      <c r="AB566" s="103" t="s">
        <v>1812</v>
      </c>
      <c r="AC566" s="103" t="s">
        <v>2361</v>
      </c>
      <c r="AD566" s="103">
        <v>180326.0</v>
      </c>
      <c r="AE566" s="103">
        <v>20183.52</v>
      </c>
      <c r="AF566" s="104"/>
      <c r="AG566" s="104"/>
      <c r="AH566" s="100"/>
      <c r="AI566" s="100"/>
      <c r="AJ566" s="100"/>
      <c r="AK566" s="100"/>
    </row>
    <row r="567" hidden="1">
      <c r="A567" s="100"/>
      <c r="B567" s="101">
        <v>46046.0</v>
      </c>
      <c r="C567" s="101">
        <v>46069.0</v>
      </c>
      <c r="D567" s="102">
        <f t="shared" si="11"/>
        <v>0</v>
      </c>
      <c r="E567" s="107" t="s">
        <v>2128</v>
      </c>
      <c r="F567" s="103">
        <v>5054270.0</v>
      </c>
      <c r="G567" s="130">
        <v>5828.0</v>
      </c>
      <c r="H567" s="134" t="s">
        <v>1165</v>
      </c>
      <c r="I567" s="136">
        <v>1.0</v>
      </c>
      <c r="J567" s="108" t="s">
        <v>2051</v>
      </c>
      <c r="K567" s="109">
        <v>46074.0</v>
      </c>
      <c r="L567" s="107" t="s">
        <v>250</v>
      </c>
      <c r="M567" s="103" t="s">
        <v>2697</v>
      </c>
      <c r="N567" s="103" t="s">
        <v>2698</v>
      </c>
      <c r="O567" s="103" t="s">
        <v>2565</v>
      </c>
      <c r="P567" s="103">
        <v>126485.0</v>
      </c>
      <c r="Q567" s="103" t="s">
        <v>1970</v>
      </c>
      <c r="R567" s="103" t="s">
        <v>105</v>
      </c>
      <c r="S567" s="104"/>
      <c r="T567" s="104"/>
      <c r="U567" s="103" t="s">
        <v>2699</v>
      </c>
      <c r="V567" s="104"/>
      <c r="W567" s="104"/>
      <c r="X567" s="103" t="s">
        <v>1023</v>
      </c>
      <c r="Y567" s="103" t="s">
        <v>48</v>
      </c>
      <c r="Z567" s="103" t="s">
        <v>49</v>
      </c>
      <c r="AA567" s="103" t="s">
        <v>72</v>
      </c>
      <c r="AB567" s="103" t="s">
        <v>2700</v>
      </c>
      <c r="AC567" s="103" t="s">
        <v>175</v>
      </c>
      <c r="AD567" s="103">
        <v>180423.0</v>
      </c>
      <c r="AE567" s="103">
        <v>5034.63</v>
      </c>
      <c r="AF567" s="104"/>
      <c r="AG567" s="104"/>
      <c r="AH567" s="100"/>
      <c r="AI567" s="100"/>
      <c r="AJ567" s="100"/>
      <c r="AK567" s="100"/>
    </row>
    <row r="568" hidden="1">
      <c r="A568" s="100"/>
      <c r="B568" s="101">
        <v>46023.0</v>
      </c>
      <c r="C568" s="101">
        <v>46079.0</v>
      </c>
      <c r="D568" s="102">
        <f t="shared" si="11"/>
        <v>0</v>
      </c>
      <c r="E568" s="107" t="s">
        <v>2128</v>
      </c>
      <c r="F568" s="103" t="s">
        <v>2701</v>
      </c>
      <c r="G568" s="130">
        <v>7332.0</v>
      </c>
      <c r="H568" s="134" t="s">
        <v>1165</v>
      </c>
      <c r="I568" s="136">
        <v>1.0</v>
      </c>
      <c r="J568" s="108" t="s">
        <v>2051</v>
      </c>
      <c r="K568" s="109">
        <v>46089.0</v>
      </c>
      <c r="L568" s="107" t="s">
        <v>1890</v>
      </c>
      <c r="M568" s="103" t="s">
        <v>2702</v>
      </c>
      <c r="N568" s="103" t="s">
        <v>2703</v>
      </c>
      <c r="O568" s="103" t="s">
        <v>2621</v>
      </c>
      <c r="P568" s="103">
        <v>144483.0</v>
      </c>
      <c r="Q568" s="103" t="s">
        <v>1970</v>
      </c>
      <c r="R568" s="103" t="s">
        <v>2704</v>
      </c>
      <c r="S568" s="104"/>
      <c r="T568" s="104"/>
      <c r="U568" s="103" t="s">
        <v>2705</v>
      </c>
      <c r="V568" s="104"/>
      <c r="W568" s="104"/>
      <c r="X568" s="103" t="s">
        <v>1023</v>
      </c>
      <c r="Y568" s="103" t="s">
        <v>48</v>
      </c>
      <c r="Z568" s="103" t="s">
        <v>49</v>
      </c>
      <c r="AA568" s="103" t="s">
        <v>1860</v>
      </c>
      <c r="AB568" s="103" t="s">
        <v>1824</v>
      </c>
      <c r="AC568" s="103" t="s">
        <v>2361</v>
      </c>
      <c r="AD568" s="103">
        <v>181451.0</v>
      </c>
      <c r="AE568" s="103">
        <v>5298.23</v>
      </c>
      <c r="AF568" s="104"/>
      <c r="AG568" s="104"/>
      <c r="AH568" s="100"/>
      <c r="AI568" s="100"/>
      <c r="AJ568" s="100"/>
      <c r="AK568" s="100"/>
    </row>
    <row r="569" hidden="1">
      <c r="A569" s="100"/>
      <c r="B569" s="101">
        <v>46022.0</v>
      </c>
      <c r="C569" s="101">
        <v>46079.0</v>
      </c>
      <c r="D569" s="102">
        <f t="shared" si="11"/>
        <v>0</v>
      </c>
      <c r="E569" s="107" t="s">
        <v>2128</v>
      </c>
      <c r="F569" s="103" t="s">
        <v>2706</v>
      </c>
      <c r="G569" s="130">
        <v>19229.0</v>
      </c>
      <c r="H569" s="134" t="s">
        <v>1165</v>
      </c>
      <c r="I569" s="136">
        <v>2.0</v>
      </c>
      <c r="J569" s="108" t="s">
        <v>2051</v>
      </c>
      <c r="K569" s="109">
        <v>46089.0</v>
      </c>
      <c r="L569" s="107" t="s">
        <v>2010</v>
      </c>
      <c r="M569" s="104"/>
      <c r="N569" s="103" t="s">
        <v>2707</v>
      </c>
      <c r="O569" s="103" t="s">
        <v>2708</v>
      </c>
      <c r="P569" s="103">
        <v>143738.0</v>
      </c>
      <c r="Q569" s="103" t="s">
        <v>1970</v>
      </c>
      <c r="R569" s="103" t="s">
        <v>2632</v>
      </c>
      <c r="S569" s="104"/>
      <c r="T569" s="104"/>
      <c r="U569" s="103" t="s">
        <v>2709</v>
      </c>
      <c r="V569" s="104"/>
      <c r="W569" s="104"/>
      <c r="X569" s="103" t="s">
        <v>47</v>
      </c>
      <c r="Y569" s="103" t="s">
        <v>1758</v>
      </c>
      <c r="Z569" s="103" t="s">
        <v>102</v>
      </c>
      <c r="AA569" s="103" t="s">
        <v>72</v>
      </c>
      <c r="AB569" s="103" t="s">
        <v>1824</v>
      </c>
      <c r="AC569" s="103" t="s">
        <v>175</v>
      </c>
      <c r="AD569" s="103">
        <v>181373.0</v>
      </c>
      <c r="AE569" s="103">
        <v>9331.78</v>
      </c>
      <c r="AF569" s="104"/>
      <c r="AG569" s="104"/>
      <c r="AH569" s="100"/>
      <c r="AI569" s="100"/>
      <c r="AJ569" s="100"/>
      <c r="AK569" s="100"/>
    </row>
    <row r="570" hidden="1">
      <c r="A570" s="100"/>
      <c r="B570" s="131">
        <v>46054.0</v>
      </c>
      <c r="C570" s="131">
        <v>46079.0</v>
      </c>
      <c r="D570" s="102">
        <f t="shared" si="11"/>
        <v>0</v>
      </c>
      <c r="E570" s="107" t="s">
        <v>2128</v>
      </c>
      <c r="F570" s="103" t="s">
        <v>2710</v>
      </c>
      <c r="G570" s="130">
        <v>20363.0</v>
      </c>
      <c r="H570" s="134" t="s">
        <v>1165</v>
      </c>
      <c r="I570" s="136">
        <v>2.0</v>
      </c>
      <c r="J570" s="108" t="s">
        <v>1420</v>
      </c>
      <c r="K570" s="109">
        <v>46095.0</v>
      </c>
      <c r="L570" s="107" t="s">
        <v>38</v>
      </c>
      <c r="M570" s="103" t="s">
        <v>2711</v>
      </c>
      <c r="N570" s="103" t="s">
        <v>2712</v>
      </c>
      <c r="O570" s="103" t="s">
        <v>2713</v>
      </c>
      <c r="P570" s="103">
        <v>47242.0</v>
      </c>
      <c r="Q570" s="103" t="s">
        <v>1970</v>
      </c>
      <c r="R570" s="103" t="s">
        <v>1971</v>
      </c>
      <c r="S570" s="104"/>
      <c r="T570" s="104"/>
      <c r="U570" s="104"/>
      <c r="V570" s="104"/>
      <c r="W570" s="104"/>
      <c r="X570" s="103" t="s">
        <v>47</v>
      </c>
      <c r="Y570" s="103" t="s">
        <v>2714</v>
      </c>
      <c r="Z570" s="103" t="s">
        <v>49</v>
      </c>
      <c r="AA570" s="103" t="s">
        <v>72</v>
      </c>
      <c r="AB570" s="103" t="s">
        <v>2549</v>
      </c>
      <c r="AC570" s="103" t="s">
        <v>2361</v>
      </c>
      <c r="AD570" s="103">
        <v>181888.0</v>
      </c>
      <c r="AE570" s="103">
        <v>7378.55</v>
      </c>
      <c r="AF570" s="104"/>
      <c r="AG570" s="104"/>
      <c r="AH570" s="100"/>
      <c r="AI570" s="100"/>
      <c r="AJ570" s="100"/>
      <c r="AK570" s="100"/>
    </row>
    <row r="571" hidden="1">
      <c r="A571" s="100"/>
      <c r="B571" s="131">
        <v>46054.0</v>
      </c>
      <c r="C571" s="131">
        <v>46079.0</v>
      </c>
      <c r="D571" s="102">
        <f t="shared" si="11"/>
        <v>0</v>
      </c>
      <c r="E571" s="130" t="s">
        <v>2128</v>
      </c>
      <c r="F571" s="103" t="s">
        <v>2715</v>
      </c>
      <c r="G571" s="130">
        <v>7163.0</v>
      </c>
      <c r="H571" s="134" t="s">
        <v>1165</v>
      </c>
      <c r="I571" s="136">
        <v>1.0</v>
      </c>
      <c r="J571" s="108" t="s">
        <v>1420</v>
      </c>
      <c r="K571" s="109">
        <v>46096.0</v>
      </c>
      <c r="L571" s="107" t="s">
        <v>38</v>
      </c>
      <c r="M571" s="103" t="s">
        <v>2711</v>
      </c>
      <c r="N571" s="103" t="s">
        <v>2716</v>
      </c>
      <c r="O571" s="103" t="s">
        <v>2713</v>
      </c>
      <c r="P571" s="103">
        <v>48035.0</v>
      </c>
      <c r="Q571" s="103" t="s">
        <v>1970</v>
      </c>
      <c r="R571" s="103" t="s">
        <v>1971</v>
      </c>
      <c r="S571" s="104"/>
      <c r="T571" s="104"/>
      <c r="U571" s="104"/>
      <c r="V571" s="104"/>
      <c r="W571" s="104"/>
      <c r="X571" s="103" t="s">
        <v>47</v>
      </c>
      <c r="Y571" s="103" t="s">
        <v>2717</v>
      </c>
      <c r="Z571" s="103" t="s">
        <v>49</v>
      </c>
      <c r="AA571" s="103" t="s">
        <v>72</v>
      </c>
      <c r="AB571" s="103" t="s">
        <v>2549</v>
      </c>
      <c r="AC571" s="103" t="s">
        <v>175</v>
      </c>
      <c r="AD571" s="103" t="s">
        <v>2718</v>
      </c>
      <c r="AE571" s="103">
        <f>3551.25+34.5</f>
        <v>3585.75</v>
      </c>
      <c r="AF571" s="104"/>
      <c r="AG571" s="104"/>
      <c r="AH571" s="100"/>
      <c r="AI571" s="100"/>
      <c r="AJ571" s="100"/>
      <c r="AK571" s="100"/>
    </row>
    <row r="572" hidden="1">
      <c r="A572" s="100"/>
      <c r="B572" s="131">
        <v>46056.0</v>
      </c>
      <c r="C572" s="131">
        <v>46081.0</v>
      </c>
      <c r="D572" s="102">
        <f t="shared" si="11"/>
        <v>0</v>
      </c>
      <c r="E572" s="103" t="s">
        <v>2128</v>
      </c>
      <c r="F572" s="103">
        <v>5054300.0</v>
      </c>
      <c r="G572" s="130">
        <v>24440.0</v>
      </c>
      <c r="H572" s="134" t="s">
        <v>1165</v>
      </c>
      <c r="I572" s="136">
        <v>5.0</v>
      </c>
      <c r="J572" s="108" t="s">
        <v>2072</v>
      </c>
      <c r="K572" s="109">
        <v>46088.0</v>
      </c>
      <c r="L572" s="107" t="s">
        <v>2024</v>
      </c>
      <c r="M572" s="103" t="s">
        <v>2719</v>
      </c>
      <c r="N572" s="103" t="s">
        <v>2720</v>
      </c>
      <c r="O572" s="103" t="s">
        <v>2647</v>
      </c>
      <c r="P572" s="103">
        <v>135414.0</v>
      </c>
      <c r="Q572" s="103" t="s">
        <v>477</v>
      </c>
      <c r="R572" s="103" t="s">
        <v>2576</v>
      </c>
      <c r="S572" s="104"/>
      <c r="T572" s="104"/>
      <c r="U572" s="103" t="s">
        <v>2721</v>
      </c>
      <c r="V572" s="103" t="s">
        <v>2722</v>
      </c>
      <c r="W572" s="104"/>
      <c r="X572" s="103" t="s">
        <v>1023</v>
      </c>
      <c r="Y572" s="103" t="s">
        <v>48</v>
      </c>
      <c r="Z572" s="103" t="s">
        <v>102</v>
      </c>
      <c r="AA572" s="103" t="s">
        <v>1860</v>
      </c>
      <c r="AB572" s="103" t="s">
        <v>2700</v>
      </c>
      <c r="AC572" s="103" t="s">
        <v>175</v>
      </c>
      <c r="AD572" s="103">
        <v>181528.0</v>
      </c>
      <c r="AE572" s="156">
        <v>30060.0</v>
      </c>
      <c r="AF572" s="104"/>
      <c r="AG572" s="104"/>
      <c r="AH572" s="100"/>
      <c r="AI572" s="100"/>
      <c r="AJ572" s="100"/>
      <c r="AK572" s="133"/>
    </row>
    <row r="573" hidden="1">
      <c r="A573" s="100"/>
      <c r="B573" s="131">
        <v>46049.0</v>
      </c>
      <c r="C573" s="131">
        <v>46083.0</v>
      </c>
      <c r="D573" s="102">
        <f t="shared" si="11"/>
        <v>0</v>
      </c>
      <c r="E573" s="103" t="s">
        <v>2128</v>
      </c>
      <c r="F573" s="103" t="s">
        <v>2723</v>
      </c>
      <c r="G573" s="130">
        <v>8084.0</v>
      </c>
      <c r="H573" s="134" t="s">
        <v>1165</v>
      </c>
      <c r="I573" s="136">
        <v>1.0</v>
      </c>
      <c r="J573" s="108" t="s">
        <v>2051</v>
      </c>
      <c r="K573" s="109">
        <v>46086.0</v>
      </c>
      <c r="L573" s="107" t="s">
        <v>250</v>
      </c>
      <c r="M573" s="103" t="s">
        <v>2641</v>
      </c>
      <c r="N573" s="103">
        <v>259104.0</v>
      </c>
      <c r="O573" s="103" t="s">
        <v>2615</v>
      </c>
      <c r="P573" s="103">
        <v>143735.0</v>
      </c>
      <c r="Q573" s="103" t="s">
        <v>1196</v>
      </c>
      <c r="R573" s="103" t="s">
        <v>603</v>
      </c>
      <c r="S573" s="103"/>
      <c r="T573" s="104"/>
      <c r="U573" s="103" t="s">
        <v>2724</v>
      </c>
      <c r="V573" s="104"/>
      <c r="W573" s="104"/>
      <c r="X573" s="103" t="s">
        <v>1023</v>
      </c>
      <c r="Y573" s="103" t="s">
        <v>48</v>
      </c>
      <c r="Z573" s="103" t="s">
        <v>102</v>
      </c>
      <c r="AA573" s="103" t="s">
        <v>72</v>
      </c>
      <c r="AB573" s="103" t="s">
        <v>1928</v>
      </c>
      <c r="AC573" s="103" t="s">
        <v>175</v>
      </c>
      <c r="AD573" s="103">
        <v>181527.0</v>
      </c>
      <c r="AE573" s="103">
        <v>6351.0</v>
      </c>
      <c r="AF573" s="104"/>
      <c r="AG573" s="104"/>
      <c r="AH573" s="100"/>
      <c r="AI573" s="100"/>
      <c r="AJ573" s="100"/>
      <c r="AK573" s="100"/>
    </row>
    <row r="574" hidden="1">
      <c r="A574" s="100"/>
      <c r="B574" s="101">
        <v>46034.0</v>
      </c>
      <c r="C574" s="101">
        <v>46091.0</v>
      </c>
      <c r="D574" s="102">
        <f t="shared" si="11"/>
        <v>0</v>
      </c>
      <c r="E574" s="103" t="s">
        <v>2128</v>
      </c>
      <c r="F574" s="103" t="s">
        <v>2725</v>
      </c>
      <c r="G574" s="130">
        <f>8812.5+38748.61</f>
        <v>47561.11</v>
      </c>
      <c r="H574" s="134" t="s">
        <v>1165</v>
      </c>
      <c r="I574" s="136">
        <v>3.0</v>
      </c>
      <c r="J574" s="108" t="s">
        <v>2051</v>
      </c>
      <c r="K574" s="157">
        <v>46100.0</v>
      </c>
      <c r="L574" s="107" t="s">
        <v>2182</v>
      </c>
      <c r="M574" s="103" t="s">
        <v>2726</v>
      </c>
      <c r="N574" s="103" t="s">
        <v>2727</v>
      </c>
      <c r="O574" s="103" t="s">
        <v>2728</v>
      </c>
      <c r="P574" s="103">
        <v>172668.0</v>
      </c>
      <c r="Q574" s="103" t="s">
        <v>2729</v>
      </c>
      <c r="R574" s="103" t="s">
        <v>149</v>
      </c>
      <c r="S574" s="104"/>
      <c r="T574" s="104"/>
      <c r="U574" s="103" t="s">
        <v>2730</v>
      </c>
      <c r="V574" s="104"/>
      <c r="W574" s="104"/>
      <c r="X574" s="103" t="s">
        <v>1023</v>
      </c>
      <c r="Y574" s="103" t="s">
        <v>2731</v>
      </c>
      <c r="Z574" s="103" t="s">
        <v>2186</v>
      </c>
      <c r="AA574" s="103" t="s">
        <v>1860</v>
      </c>
      <c r="AB574" s="103" t="s">
        <v>1812</v>
      </c>
      <c r="AC574" s="103" t="s">
        <v>2361</v>
      </c>
      <c r="AD574" s="103">
        <v>182260.0</v>
      </c>
      <c r="AE574" s="103">
        <v>19489.68</v>
      </c>
      <c r="AF574" s="104"/>
      <c r="AG574" s="104"/>
      <c r="AH574" s="100"/>
      <c r="AI574" s="100"/>
      <c r="AJ574" s="100"/>
      <c r="AK574" s="100"/>
    </row>
    <row r="575" hidden="1">
      <c r="A575" s="100"/>
      <c r="B575" s="131">
        <v>46086.0</v>
      </c>
      <c r="C575" s="131">
        <v>46102.0</v>
      </c>
      <c r="D575" s="102">
        <f t="shared" si="11"/>
        <v>0</v>
      </c>
      <c r="E575" s="158" t="s">
        <v>2128</v>
      </c>
      <c r="F575" s="103" t="s">
        <v>2732</v>
      </c>
      <c r="G575" s="130">
        <f>1462.5+11250</f>
        <v>12712.5</v>
      </c>
      <c r="H575" s="134" t="s">
        <v>1165</v>
      </c>
      <c r="I575" s="136">
        <v>1.0</v>
      </c>
      <c r="J575" s="108" t="s">
        <v>2051</v>
      </c>
      <c r="K575" s="109">
        <v>46107.0</v>
      </c>
      <c r="L575" s="107" t="s">
        <v>2067</v>
      </c>
      <c r="M575" s="103" t="s">
        <v>2733</v>
      </c>
      <c r="N575" s="103">
        <v>153.0</v>
      </c>
      <c r="O575" s="104"/>
      <c r="P575" s="103">
        <v>187672.0</v>
      </c>
      <c r="Q575" s="103" t="s">
        <v>2053</v>
      </c>
      <c r="R575" s="103" t="s">
        <v>1608</v>
      </c>
      <c r="S575" s="104"/>
      <c r="T575" s="104"/>
      <c r="U575" s="103" t="s">
        <v>2734</v>
      </c>
      <c r="V575" s="104"/>
      <c r="W575" s="104"/>
      <c r="X575" s="103" t="s">
        <v>1023</v>
      </c>
      <c r="Y575" s="103" t="s">
        <v>48</v>
      </c>
      <c r="Z575" s="103" t="s">
        <v>2186</v>
      </c>
      <c r="AA575" s="103" t="s">
        <v>1860</v>
      </c>
      <c r="AB575" s="103" t="s">
        <v>1410</v>
      </c>
      <c r="AC575" s="103" t="s">
        <v>2361</v>
      </c>
      <c r="AD575" s="103">
        <v>182477.0</v>
      </c>
      <c r="AE575" s="103">
        <v>6326.0</v>
      </c>
      <c r="AF575" s="104"/>
      <c r="AG575" s="104"/>
      <c r="AH575" s="100"/>
      <c r="AI575" s="100"/>
      <c r="AJ575" s="100"/>
      <c r="AK575" s="100"/>
    </row>
    <row r="576" hidden="1">
      <c r="A576" s="100"/>
      <c r="B576" s="101">
        <v>46076.0</v>
      </c>
      <c r="C576" s="101">
        <v>46108.0</v>
      </c>
      <c r="D576" s="102">
        <f t="shared" si="11"/>
        <v>0</v>
      </c>
      <c r="E576" s="158" t="s">
        <v>2735</v>
      </c>
      <c r="F576" s="103" t="s">
        <v>2736</v>
      </c>
      <c r="G576" s="130">
        <f>95366.73+198069.36</f>
        <v>293436.09</v>
      </c>
      <c r="H576" s="134" t="s">
        <v>2737</v>
      </c>
      <c r="I576" s="136">
        <v>13.0</v>
      </c>
      <c r="J576" s="108" t="s">
        <v>2072</v>
      </c>
      <c r="K576" s="109">
        <v>46113.0</v>
      </c>
      <c r="L576" s="107" t="s">
        <v>270</v>
      </c>
      <c r="M576" s="103" t="s">
        <v>2738</v>
      </c>
      <c r="N576" s="103" t="s">
        <v>2739</v>
      </c>
      <c r="O576" s="103" t="s">
        <v>2740</v>
      </c>
      <c r="P576" s="103">
        <v>196996.0</v>
      </c>
      <c r="Q576" s="103" t="s">
        <v>1280</v>
      </c>
      <c r="R576" s="103" t="s">
        <v>1959</v>
      </c>
      <c r="S576" s="104"/>
      <c r="T576" s="104"/>
      <c r="U576" s="103" t="s">
        <v>2741</v>
      </c>
      <c r="V576" s="104"/>
      <c r="W576" s="104"/>
      <c r="X576" s="103" t="s">
        <v>1023</v>
      </c>
      <c r="Y576" s="103" t="s">
        <v>48</v>
      </c>
      <c r="Z576" s="103" t="s">
        <v>102</v>
      </c>
      <c r="AA576" s="103" t="s">
        <v>970</v>
      </c>
      <c r="AB576" s="103" t="s">
        <v>1812</v>
      </c>
      <c r="AC576" s="103" t="s">
        <v>2361</v>
      </c>
      <c r="AD576" s="103">
        <v>182717.0</v>
      </c>
      <c r="AE576" s="103">
        <v>40325.25</v>
      </c>
      <c r="AF576" s="104"/>
      <c r="AG576" s="104"/>
      <c r="AH576" s="100"/>
      <c r="AI576" s="100"/>
      <c r="AJ576" s="100"/>
      <c r="AK576" s="100"/>
    </row>
    <row r="577" hidden="1">
      <c r="A577" s="100"/>
      <c r="B577" s="131">
        <v>46084.0</v>
      </c>
      <c r="C577" s="131">
        <v>46111.0</v>
      </c>
      <c r="D577" s="102">
        <f t="shared" si="11"/>
        <v>0</v>
      </c>
      <c r="E577" s="158" t="s">
        <v>2735</v>
      </c>
      <c r="F577" s="103" t="s">
        <v>2742</v>
      </c>
      <c r="G577" s="105">
        <f t="shared" ref="G577:G578" si="12">24453.01+74299.52</f>
        <v>98752.53</v>
      </c>
      <c r="H577" s="134" t="s">
        <v>2737</v>
      </c>
      <c r="I577" s="136">
        <v>5.0</v>
      </c>
      <c r="J577" s="108" t="s">
        <v>2051</v>
      </c>
      <c r="K577" s="109">
        <v>46114.0</v>
      </c>
      <c r="L577" s="107" t="s">
        <v>2024</v>
      </c>
      <c r="M577" s="103" t="s">
        <v>2719</v>
      </c>
      <c r="N577" s="103" t="s">
        <v>2743</v>
      </c>
      <c r="O577" s="103" t="s">
        <v>2647</v>
      </c>
      <c r="P577" s="103">
        <v>203762.0</v>
      </c>
      <c r="Q577" s="103" t="s">
        <v>477</v>
      </c>
      <c r="R577" s="103" t="s">
        <v>559</v>
      </c>
      <c r="S577" s="104"/>
      <c r="T577" s="104"/>
      <c r="U577" s="103" t="s">
        <v>2744</v>
      </c>
      <c r="V577" s="103" t="s">
        <v>2745</v>
      </c>
      <c r="W577" s="104"/>
      <c r="X577" s="103" t="s">
        <v>1023</v>
      </c>
      <c r="Y577" s="103" t="s">
        <v>48</v>
      </c>
      <c r="Z577" s="103" t="s">
        <v>102</v>
      </c>
      <c r="AA577" s="103" t="s">
        <v>2746</v>
      </c>
      <c r="AB577" s="103" t="s">
        <v>1812</v>
      </c>
      <c r="AC577" s="103" t="s">
        <v>2361</v>
      </c>
      <c r="AD577" s="103">
        <v>182716.0</v>
      </c>
      <c r="AE577" s="103">
        <v>15336.75</v>
      </c>
      <c r="AF577" s="104"/>
      <c r="AG577" s="104"/>
      <c r="AH577" s="100"/>
      <c r="AI577" s="100"/>
      <c r="AJ577" s="100"/>
      <c r="AK577" s="100"/>
    </row>
    <row r="578" hidden="1">
      <c r="A578" s="100"/>
      <c r="B578" s="131">
        <v>46092.0</v>
      </c>
      <c r="C578" s="131">
        <v>46111.0</v>
      </c>
      <c r="D578" s="102">
        <f t="shared" si="11"/>
        <v>0</v>
      </c>
      <c r="E578" s="158" t="s">
        <v>2735</v>
      </c>
      <c r="F578" s="103" t="s">
        <v>2747</v>
      </c>
      <c r="G578" s="105">
        <f t="shared" si="12"/>
        <v>98752.53</v>
      </c>
      <c r="H578" s="134" t="s">
        <v>2737</v>
      </c>
      <c r="I578" s="136">
        <v>5.0</v>
      </c>
      <c r="J578" s="108" t="s">
        <v>2051</v>
      </c>
      <c r="K578" s="109">
        <v>46120.0</v>
      </c>
      <c r="L578" s="107" t="s">
        <v>2024</v>
      </c>
      <c r="M578" s="103" t="s">
        <v>2719</v>
      </c>
      <c r="N578" s="103" t="s">
        <v>2748</v>
      </c>
      <c r="O578" s="103" t="s">
        <v>2647</v>
      </c>
      <c r="P578" s="103">
        <v>203802.0</v>
      </c>
      <c r="Q578" s="103" t="s">
        <v>2608</v>
      </c>
      <c r="R578" s="103" t="s">
        <v>559</v>
      </c>
      <c r="S578" s="104"/>
      <c r="T578" s="104"/>
      <c r="U578" s="103" t="s">
        <v>2749</v>
      </c>
      <c r="V578" s="103" t="s">
        <v>2750</v>
      </c>
      <c r="W578" s="104"/>
      <c r="X578" s="103" t="s">
        <v>1023</v>
      </c>
      <c r="Y578" s="103" t="s">
        <v>48</v>
      </c>
      <c r="Z578" s="103" t="s">
        <v>102</v>
      </c>
      <c r="AA578" s="103" t="s">
        <v>2746</v>
      </c>
      <c r="AB578" s="103" t="s">
        <v>1812</v>
      </c>
      <c r="AC578" s="103" t="s">
        <v>2361</v>
      </c>
      <c r="AD578" s="103">
        <v>182907.0</v>
      </c>
      <c r="AE578" s="103">
        <v>24509.25</v>
      </c>
      <c r="AF578" s="104"/>
      <c r="AG578" s="104"/>
      <c r="AH578" s="100"/>
      <c r="AI578" s="100"/>
      <c r="AJ578" s="100"/>
      <c r="AK578" s="100"/>
    </row>
    <row r="579" hidden="1">
      <c r="A579" s="100"/>
      <c r="B579" s="131">
        <v>46084.0</v>
      </c>
      <c r="C579" s="131">
        <v>46114.0</v>
      </c>
      <c r="D579" s="102">
        <f t="shared" si="11"/>
        <v>0</v>
      </c>
      <c r="E579" s="158" t="s">
        <v>2735</v>
      </c>
      <c r="F579" s="103" t="s">
        <v>2751</v>
      </c>
      <c r="G579" s="130">
        <v>10999.35</v>
      </c>
      <c r="H579" s="134" t="s">
        <v>2737</v>
      </c>
      <c r="I579" s="136">
        <v>1.0</v>
      </c>
      <c r="J579" s="108" t="s">
        <v>2051</v>
      </c>
      <c r="K579" s="109">
        <v>46124.0</v>
      </c>
      <c r="L579" s="107" t="s">
        <v>270</v>
      </c>
      <c r="M579" s="103" t="s">
        <v>2752</v>
      </c>
      <c r="N579" s="103">
        <v>3.02877671E8</v>
      </c>
      <c r="O579" s="104"/>
      <c r="P579" s="103">
        <v>213952.0</v>
      </c>
      <c r="Q579" s="103" t="s">
        <v>1272</v>
      </c>
      <c r="R579" s="103" t="s">
        <v>2753</v>
      </c>
      <c r="S579" s="104"/>
      <c r="T579" s="104"/>
      <c r="U579" s="103" t="s">
        <v>2754</v>
      </c>
      <c r="V579" s="104"/>
      <c r="W579" s="104"/>
      <c r="X579" s="103" t="s">
        <v>47</v>
      </c>
      <c r="Y579" s="103" t="s">
        <v>2755</v>
      </c>
      <c r="Z579" s="103" t="s">
        <v>102</v>
      </c>
      <c r="AA579" s="103" t="s">
        <v>2396</v>
      </c>
      <c r="AB579" s="103" t="s">
        <v>1812</v>
      </c>
      <c r="AC579" s="103" t="s">
        <v>2361</v>
      </c>
      <c r="AD579" s="103">
        <v>183189.0</v>
      </c>
      <c r="AE579" s="103">
        <v>5105.75</v>
      </c>
      <c r="AF579" s="104"/>
      <c r="AG579" s="104"/>
      <c r="AH579" s="100"/>
      <c r="AI579" s="100"/>
      <c r="AJ579" s="100"/>
      <c r="AK579" s="100"/>
    </row>
    <row r="580" hidden="1">
      <c r="A580" s="100"/>
      <c r="B580" s="101">
        <v>46043.0</v>
      </c>
      <c r="C580" s="101">
        <v>46065.0</v>
      </c>
      <c r="D580" s="102">
        <f t="shared" si="11"/>
        <v>0</v>
      </c>
      <c r="E580" s="103" t="s">
        <v>2756</v>
      </c>
      <c r="F580" s="104"/>
      <c r="G580" s="105"/>
      <c r="H580" s="134" t="s">
        <v>2757</v>
      </c>
      <c r="I580" s="136" t="s">
        <v>2758</v>
      </c>
      <c r="J580" s="108" t="s">
        <v>2051</v>
      </c>
      <c r="K580" s="109">
        <v>46154.0</v>
      </c>
      <c r="L580" s="107" t="s">
        <v>1880</v>
      </c>
      <c r="M580" s="103" t="s">
        <v>2759</v>
      </c>
      <c r="N580" s="103" t="s">
        <v>2760</v>
      </c>
      <c r="O580" s="103"/>
      <c r="P580" s="103">
        <v>64443.0</v>
      </c>
      <c r="Q580" s="103" t="s">
        <v>2761</v>
      </c>
      <c r="R580" s="103" t="s">
        <v>2762</v>
      </c>
      <c r="S580" s="104"/>
      <c r="T580" s="104"/>
      <c r="U580" s="103" t="s">
        <v>2763</v>
      </c>
      <c r="V580" s="103" t="s">
        <v>2764</v>
      </c>
      <c r="W580" s="104"/>
      <c r="X580" s="103" t="s">
        <v>1023</v>
      </c>
      <c r="Y580" s="103" t="s">
        <v>2765</v>
      </c>
      <c r="Z580" s="103" t="s">
        <v>2766</v>
      </c>
      <c r="AA580" s="103" t="s">
        <v>1860</v>
      </c>
      <c r="AB580" s="103" t="s">
        <v>294</v>
      </c>
      <c r="AC580" s="104"/>
      <c r="AD580" s="104"/>
      <c r="AE580" s="104"/>
      <c r="AF580" s="104"/>
      <c r="AG580" s="104"/>
      <c r="AH580" s="100"/>
      <c r="AI580" s="100"/>
      <c r="AJ580" s="100"/>
      <c r="AK580" s="100"/>
    </row>
    <row r="581" hidden="1">
      <c r="A581" s="100"/>
      <c r="B581" s="131">
        <v>46060.0</v>
      </c>
      <c r="C581" s="159">
        <v>46088.0</v>
      </c>
      <c r="D581" s="102">
        <f t="shared" si="11"/>
        <v>0</v>
      </c>
      <c r="E581" s="103" t="s">
        <v>2756</v>
      </c>
      <c r="F581" s="103"/>
      <c r="G581" s="130"/>
      <c r="H581" s="134" t="s">
        <v>2757</v>
      </c>
      <c r="I581" s="136" t="s">
        <v>2767</v>
      </c>
      <c r="J581" s="108" t="s">
        <v>2051</v>
      </c>
      <c r="K581" s="109">
        <v>46154.0</v>
      </c>
      <c r="L581" s="107" t="s">
        <v>1880</v>
      </c>
      <c r="M581" s="103" t="s">
        <v>2759</v>
      </c>
      <c r="N581" s="103" t="s">
        <v>2768</v>
      </c>
      <c r="O581" s="103"/>
      <c r="P581" s="103">
        <v>64446.0</v>
      </c>
      <c r="Q581" s="103" t="s">
        <v>2769</v>
      </c>
      <c r="R581" s="103" t="s">
        <v>2762</v>
      </c>
      <c r="S581" s="104"/>
      <c r="T581" s="104"/>
      <c r="U581" s="103" t="s">
        <v>2770</v>
      </c>
      <c r="V581" s="103" t="s">
        <v>2771</v>
      </c>
      <c r="W581" s="104"/>
      <c r="X581" s="103" t="s">
        <v>1023</v>
      </c>
      <c r="Y581" s="103" t="s">
        <v>2765</v>
      </c>
      <c r="Z581" s="103" t="s">
        <v>2766</v>
      </c>
      <c r="AA581" s="103" t="s">
        <v>1860</v>
      </c>
      <c r="AB581" s="103" t="s">
        <v>294</v>
      </c>
      <c r="AC581" s="104"/>
      <c r="AD581" s="104"/>
      <c r="AE581" s="104"/>
      <c r="AF581" s="104"/>
      <c r="AG581" s="104"/>
      <c r="AH581" s="100"/>
      <c r="AI581" s="100"/>
      <c r="AJ581" s="100"/>
      <c r="AK581" s="100"/>
    </row>
    <row r="582" hidden="1">
      <c r="A582" s="100"/>
      <c r="B582" s="131">
        <v>46072.0</v>
      </c>
      <c r="C582" s="131">
        <v>46123.0</v>
      </c>
      <c r="D582" s="102">
        <f t="shared" si="11"/>
        <v>0</v>
      </c>
      <c r="E582" s="130" t="s">
        <v>2735</v>
      </c>
      <c r="F582" s="103" t="s">
        <v>2772</v>
      </c>
      <c r="G582" s="130">
        <v>36867.61</v>
      </c>
      <c r="H582" s="134" t="s">
        <v>2737</v>
      </c>
      <c r="I582" s="136">
        <v>7.0</v>
      </c>
      <c r="J582" s="108" t="s">
        <v>2773</v>
      </c>
      <c r="K582" s="109">
        <v>46144.0</v>
      </c>
      <c r="L582" s="107" t="s">
        <v>38</v>
      </c>
      <c r="M582" s="103" t="s">
        <v>2774</v>
      </c>
      <c r="N582" s="103" t="s">
        <v>2775</v>
      </c>
      <c r="O582" s="103" t="s">
        <v>2776</v>
      </c>
      <c r="P582" s="103">
        <v>260563.0</v>
      </c>
      <c r="Q582" s="103" t="s">
        <v>1846</v>
      </c>
      <c r="R582" s="103" t="s">
        <v>116</v>
      </c>
      <c r="S582" s="104"/>
      <c r="T582" s="104"/>
      <c r="U582" s="103" t="s">
        <v>2777</v>
      </c>
      <c r="V582" s="104"/>
      <c r="W582" s="104"/>
      <c r="X582" s="103" t="s">
        <v>1023</v>
      </c>
      <c r="Y582" s="103" t="s">
        <v>120</v>
      </c>
      <c r="Z582" s="103" t="s">
        <v>49</v>
      </c>
      <c r="AA582" s="103" t="s">
        <v>72</v>
      </c>
      <c r="AB582" s="103" t="s">
        <v>1812</v>
      </c>
      <c r="AC582" s="103" t="s">
        <v>2361</v>
      </c>
      <c r="AD582" s="103" t="s">
        <v>2778</v>
      </c>
      <c r="AE582" s="103">
        <f>45000.5+1759.5+1610</f>
        <v>48370</v>
      </c>
      <c r="AF582" s="104"/>
      <c r="AG582" s="104"/>
      <c r="AH582" s="100"/>
      <c r="AI582" s="100"/>
      <c r="AJ582" s="100"/>
      <c r="AK582" s="100"/>
    </row>
    <row r="583" hidden="1">
      <c r="A583" s="100"/>
      <c r="B583" s="131">
        <v>46072.0</v>
      </c>
      <c r="C583" s="131">
        <v>46123.0</v>
      </c>
      <c r="D583" s="102">
        <f t="shared" si="11"/>
        <v>0</v>
      </c>
      <c r="E583" s="130" t="s">
        <v>2735</v>
      </c>
      <c r="F583" s="103" t="s">
        <v>2779</v>
      </c>
      <c r="G583" s="130">
        <v>42134.41</v>
      </c>
      <c r="H583" s="134" t="s">
        <v>2737</v>
      </c>
      <c r="I583" s="136">
        <v>8.0</v>
      </c>
      <c r="J583" s="108" t="s">
        <v>2773</v>
      </c>
      <c r="K583" s="109">
        <v>46146.0</v>
      </c>
      <c r="L583" s="107" t="s">
        <v>38</v>
      </c>
      <c r="M583" s="103" t="s">
        <v>2774</v>
      </c>
      <c r="N583" s="103" t="s">
        <v>2780</v>
      </c>
      <c r="O583" s="103" t="s">
        <v>2776</v>
      </c>
      <c r="P583" s="103">
        <v>260599.0</v>
      </c>
      <c r="Q583" s="103" t="s">
        <v>1846</v>
      </c>
      <c r="R583" s="103" t="s">
        <v>116</v>
      </c>
      <c r="S583" s="104"/>
      <c r="T583" s="104"/>
      <c r="U583" s="103" t="s">
        <v>2781</v>
      </c>
      <c r="V583" s="104"/>
      <c r="W583" s="104"/>
      <c r="X583" s="103" t="s">
        <v>1023</v>
      </c>
      <c r="Y583" s="103" t="s">
        <v>120</v>
      </c>
      <c r="Z583" s="103" t="s">
        <v>49</v>
      </c>
      <c r="AA583" s="103" t="s">
        <v>72</v>
      </c>
      <c r="AB583" s="103" t="s">
        <v>1812</v>
      </c>
      <c r="AC583" s="103" t="s">
        <v>2361</v>
      </c>
      <c r="AD583" s="103" t="s">
        <v>2782</v>
      </c>
      <c r="AE583" s="103">
        <f>43892.5+1667.5+1840</f>
        <v>47400</v>
      </c>
      <c r="AF583" s="104"/>
      <c r="AG583" s="104"/>
      <c r="AH583" s="100"/>
      <c r="AI583" s="100"/>
      <c r="AJ583" s="100"/>
      <c r="AK583" s="100"/>
    </row>
    <row r="584" hidden="1">
      <c r="A584" s="100"/>
      <c r="B584" s="131">
        <v>46110.0</v>
      </c>
      <c r="C584" s="131">
        <v>46124.0</v>
      </c>
      <c r="D584" s="102">
        <f t="shared" si="11"/>
        <v>0</v>
      </c>
      <c r="E584" s="158" t="s">
        <v>2735</v>
      </c>
      <c r="F584" s="103" t="s">
        <v>2783</v>
      </c>
      <c r="G584" s="160">
        <v>151998.0</v>
      </c>
      <c r="H584" s="134" t="s">
        <v>2737</v>
      </c>
      <c r="I584" s="136">
        <v>7.0</v>
      </c>
      <c r="J584" s="108" t="s">
        <v>2051</v>
      </c>
      <c r="K584" s="109">
        <v>46130.0</v>
      </c>
      <c r="L584" s="107" t="s">
        <v>250</v>
      </c>
      <c r="M584" s="103" t="s">
        <v>2784</v>
      </c>
      <c r="N584" s="103" t="s">
        <v>2785</v>
      </c>
      <c r="O584" s="103" t="s">
        <v>2786</v>
      </c>
      <c r="P584" s="103">
        <v>242886.0</v>
      </c>
      <c r="Q584" s="103" t="s">
        <v>1196</v>
      </c>
      <c r="R584" s="103" t="s">
        <v>603</v>
      </c>
      <c r="S584" s="104"/>
      <c r="T584" s="104"/>
      <c r="U584" s="103" t="s">
        <v>2787</v>
      </c>
      <c r="V584" s="104"/>
      <c r="W584" s="104"/>
      <c r="X584" s="103" t="s">
        <v>47</v>
      </c>
      <c r="Y584" s="103" t="s">
        <v>48</v>
      </c>
      <c r="Z584" s="103" t="s">
        <v>102</v>
      </c>
      <c r="AA584" s="103" t="s">
        <v>72</v>
      </c>
      <c r="AB584" s="103" t="s">
        <v>1824</v>
      </c>
      <c r="AC584" s="103" t="s">
        <v>2361</v>
      </c>
      <c r="AD584" s="103">
        <v>183534.0</v>
      </c>
      <c r="AE584" s="103">
        <v>11264.75</v>
      </c>
      <c r="AF584" s="103" t="s">
        <v>2788</v>
      </c>
      <c r="AG584" s="104"/>
      <c r="AH584" s="100"/>
      <c r="AI584" s="100"/>
      <c r="AJ584" s="100"/>
      <c r="AK584" s="100"/>
    </row>
    <row r="585">
      <c r="A585" s="100"/>
      <c r="B585" s="131">
        <v>46123.0</v>
      </c>
      <c r="C585" s="159">
        <v>46147.0</v>
      </c>
      <c r="D585" s="102">
        <f t="shared" si="11"/>
        <v>0</v>
      </c>
      <c r="E585" s="103" t="s">
        <v>2735</v>
      </c>
      <c r="F585" s="103" t="s">
        <v>2789</v>
      </c>
      <c r="G585" s="130">
        <v>47940.0</v>
      </c>
      <c r="H585" s="134" t="s">
        <v>1165</v>
      </c>
      <c r="I585" s="136">
        <v>1.0</v>
      </c>
      <c r="J585" s="108" t="s">
        <v>1420</v>
      </c>
      <c r="K585" s="161">
        <v>46154.0</v>
      </c>
      <c r="L585" s="107" t="s">
        <v>2790</v>
      </c>
      <c r="M585" s="103" t="s">
        <v>2791</v>
      </c>
      <c r="N585" s="103" t="s">
        <v>2792</v>
      </c>
      <c r="O585" s="103" t="s">
        <v>2793</v>
      </c>
      <c r="P585" s="103">
        <v>308143.0</v>
      </c>
      <c r="Q585" s="103" t="s">
        <v>1970</v>
      </c>
      <c r="R585" s="103" t="s">
        <v>1971</v>
      </c>
      <c r="S585" s="104"/>
      <c r="T585" s="104"/>
      <c r="U585" s="103" t="s">
        <v>2794</v>
      </c>
      <c r="V585" s="104"/>
      <c r="W585" s="104"/>
      <c r="X585" s="103" t="s">
        <v>47</v>
      </c>
      <c r="Y585" s="103" t="s">
        <v>48</v>
      </c>
      <c r="Z585" s="103" t="s">
        <v>49</v>
      </c>
      <c r="AA585" s="103" t="s">
        <v>72</v>
      </c>
      <c r="AB585" s="103" t="s">
        <v>1824</v>
      </c>
      <c r="AC585" s="103" t="s">
        <v>2795</v>
      </c>
      <c r="AD585" s="103" t="s">
        <v>2796</v>
      </c>
      <c r="AE585" s="103">
        <v>3827.84</v>
      </c>
      <c r="AF585" s="104"/>
      <c r="AG585" s="104"/>
      <c r="AH585" s="100"/>
      <c r="AI585" s="100"/>
      <c r="AJ585" s="100"/>
      <c r="AK585" s="100"/>
    </row>
    <row r="586">
      <c r="A586" s="100"/>
      <c r="B586" s="131">
        <v>46140.0</v>
      </c>
      <c r="C586" s="159">
        <v>46147.0</v>
      </c>
      <c r="D586" s="102">
        <f t="shared" si="11"/>
        <v>0</v>
      </c>
      <c r="E586" s="103" t="s">
        <v>2444</v>
      </c>
      <c r="F586" s="103" t="s">
        <v>2797</v>
      </c>
      <c r="G586" s="103">
        <v>15156.56</v>
      </c>
      <c r="H586" s="107" t="s">
        <v>2798</v>
      </c>
      <c r="I586" s="136">
        <v>5.0</v>
      </c>
      <c r="J586" s="108" t="s">
        <v>2072</v>
      </c>
      <c r="K586" s="109">
        <v>46158.0</v>
      </c>
      <c r="L586" s="107" t="s">
        <v>2024</v>
      </c>
      <c r="M586" s="103" t="s">
        <v>2799</v>
      </c>
      <c r="N586" s="103" t="s">
        <v>2800</v>
      </c>
      <c r="O586" s="103" t="s">
        <v>2801</v>
      </c>
      <c r="P586" s="103">
        <v>325138.0</v>
      </c>
      <c r="Q586" s="103" t="s">
        <v>477</v>
      </c>
      <c r="R586" s="103" t="s">
        <v>559</v>
      </c>
      <c r="S586" s="104"/>
      <c r="T586" s="104"/>
      <c r="U586" s="104"/>
      <c r="V586" s="104"/>
      <c r="W586" s="104"/>
      <c r="X586" s="103" t="s">
        <v>47</v>
      </c>
      <c r="Y586" s="103" t="s">
        <v>48</v>
      </c>
      <c r="Z586" s="103" t="s">
        <v>102</v>
      </c>
      <c r="AA586" s="103" t="s">
        <v>72</v>
      </c>
      <c r="AB586" s="103" t="s">
        <v>294</v>
      </c>
      <c r="AC586" s="103" t="s">
        <v>2795</v>
      </c>
      <c r="AD586" s="103" t="s">
        <v>2802</v>
      </c>
      <c r="AE586" s="103">
        <v>30401.88</v>
      </c>
      <c r="AF586" s="104"/>
      <c r="AG586" s="104"/>
      <c r="AH586" s="100"/>
      <c r="AI586" s="100"/>
      <c r="AJ586" s="100"/>
      <c r="AK586" s="100"/>
    </row>
    <row r="587">
      <c r="A587" s="162"/>
      <c r="B587" s="163">
        <v>46080.0</v>
      </c>
      <c r="C587" s="163">
        <v>46151.0</v>
      </c>
      <c r="D587" s="164">
        <f t="shared" si="11"/>
        <v>0</v>
      </c>
      <c r="E587" s="165" t="s">
        <v>2803</v>
      </c>
      <c r="F587" s="165">
        <v>233812.0</v>
      </c>
      <c r="G587" s="165">
        <v>4662.4</v>
      </c>
      <c r="H587" s="166" t="s">
        <v>1165</v>
      </c>
      <c r="I587" s="167">
        <v>1.0</v>
      </c>
      <c r="J587" s="168"/>
      <c r="K587" s="169"/>
      <c r="L587" s="170" t="s">
        <v>2253</v>
      </c>
      <c r="M587" s="165" t="s">
        <v>2804</v>
      </c>
      <c r="N587" s="171"/>
      <c r="O587" s="165" t="s">
        <v>2805</v>
      </c>
      <c r="P587" s="171"/>
      <c r="Q587" s="165" t="s">
        <v>1846</v>
      </c>
      <c r="R587" s="165" t="s">
        <v>1847</v>
      </c>
      <c r="S587" s="171"/>
      <c r="T587" s="171"/>
      <c r="U587" s="165" t="s">
        <v>2806</v>
      </c>
      <c r="V587" s="171"/>
      <c r="W587" s="171"/>
      <c r="X587" s="165" t="s">
        <v>1023</v>
      </c>
      <c r="Y587" s="165" t="s">
        <v>48</v>
      </c>
      <c r="Z587" s="165" t="s">
        <v>49</v>
      </c>
      <c r="AA587" s="165" t="s">
        <v>2746</v>
      </c>
      <c r="AB587" s="165" t="s">
        <v>2807</v>
      </c>
      <c r="AC587" s="171"/>
      <c r="AD587" s="171"/>
      <c r="AE587" s="171"/>
      <c r="AF587" s="171"/>
      <c r="AG587" s="171"/>
      <c r="AH587" s="162"/>
      <c r="AI587" s="162"/>
      <c r="AJ587" s="162"/>
      <c r="AK587" s="162"/>
    </row>
    <row r="588">
      <c r="A588" s="162"/>
      <c r="B588" s="163">
        <v>46054.0</v>
      </c>
      <c r="C588" s="163">
        <v>46151.0</v>
      </c>
      <c r="D588" s="164">
        <f t="shared" si="11"/>
        <v>0</v>
      </c>
      <c r="E588" s="172" t="s">
        <v>2808</v>
      </c>
      <c r="F588" s="171"/>
      <c r="G588" s="171"/>
      <c r="H588" s="166" t="s">
        <v>1165</v>
      </c>
      <c r="I588" s="167">
        <v>1.0</v>
      </c>
      <c r="J588" s="173" t="s">
        <v>2773</v>
      </c>
      <c r="K588" s="169"/>
      <c r="L588" s="170" t="s">
        <v>38</v>
      </c>
      <c r="M588" s="165" t="s">
        <v>1243</v>
      </c>
      <c r="N588" s="165" t="s">
        <v>2809</v>
      </c>
      <c r="O588" s="165" t="s">
        <v>2810</v>
      </c>
      <c r="P588" s="171"/>
      <c r="Q588" s="165" t="s">
        <v>1970</v>
      </c>
      <c r="R588" s="165" t="s">
        <v>1971</v>
      </c>
      <c r="S588" s="171"/>
      <c r="T588" s="171"/>
      <c r="U588" s="165" t="s">
        <v>2811</v>
      </c>
      <c r="V588" s="171"/>
      <c r="W588" s="171"/>
      <c r="X588" s="165" t="s">
        <v>1023</v>
      </c>
      <c r="Y588" s="165" t="s">
        <v>48</v>
      </c>
      <c r="Z588" s="165" t="s">
        <v>2186</v>
      </c>
      <c r="AA588" s="165" t="s">
        <v>1860</v>
      </c>
      <c r="AB588" s="165" t="s">
        <v>2549</v>
      </c>
      <c r="AC588" s="171"/>
      <c r="AD588" s="171"/>
      <c r="AE588" s="171"/>
      <c r="AF588" s="171"/>
      <c r="AG588" s="171"/>
      <c r="AH588" s="162"/>
      <c r="AI588" s="162"/>
      <c r="AJ588" s="162"/>
      <c r="AK588" s="162"/>
    </row>
    <row r="589">
      <c r="A589" s="100"/>
      <c r="B589" s="131">
        <v>46125.0</v>
      </c>
      <c r="C589" s="159">
        <v>46153.0</v>
      </c>
      <c r="D589" s="102">
        <f t="shared" si="11"/>
        <v>0</v>
      </c>
      <c r="E589" s="103" t="s">
        <v>2735</v>
      </c>
      <c r="F589" s="103" t="s">
        <v>2812</v>
      </c>
      <c r="G589" s="130">
        <v>109416.0</v>
      </c>
      <c r="H589" s="134" t="s">
        <v>2737</v>
      </c>
      <c r="I589" s="136">
        <v>3.0</v>
      </c>
      <c r="J589" s="108" t="s">
        <v>1420</v>
      </c>
      <c r="K589" s="109">
        <v>46159.0</v>
      </c>
      <c r="L589" s="107" t="s">
        <v>2790</v>
      </c>
      <c r="M589" s="103" t="s">
        <v>2813</v>
      </c>
      <c r="N589" s="103" t="s">
        <v>2814</v>
      </c>
      <c r="O589" s="103" t="s">
        <v>2815</v>
      </c>
      <c r="P589" s="103">
        <v>340331.0</v>
      </c>
      <c r="Q589" s="103" t="s">
        <v>1970</v>
      </c>
      <c r="R589" s="103" t="s">
        <v>1971</v>
      </c>
      <c r="S589" s="104"/>
      <c r="T589" s="104"/>
      <c r="U589" s="103" t="s">
        <v>2816</v>
      </c>
      <c r="V589" s="104"/>
      <c r="W589" s="104"/>
      <c r="X589" s="103" t="s">
        <v>47</v>
      </c>
      <c r="Y589" s="103" t="s">
        <v>120</v>
      </c>
      <c r="Z589" s="103" t="s">
        <v>49</v>
      </c>
      <c r="AA589" s="103" t="s">
        <v>72</v>
      </c>
      <c r="AB589" s="103" t="s">
        <v>1824</v>
      </c>
      <c r="AC589" s="103" t="s">
        <v>2817</v>
      </c>
      <c r="AD589" s="103" t="s">
        <v>2818</v>
      </c>
      <c r="AE589" s="103">
        <v>8347.5</v>
      </c>
      <c r="AF589" s="104"/>
      <c r="AG589" s="104"/>
      <c r="AH589" s="100"/>
      <c r="AI589" s="100"/>
      <c r="AJ589" s="100"/>
      <c r="AK589" s="100"/>
    </row>
    <row r="590">
      <c r="A590" s="174"/>
      <c r="B590" s="175">
        <v>46107.0</v>
      </c>
      <c r="C590" s="175">
        <v>46158.0</v>
      </c>
      <c r="D590" s="176">
        <f t="shared" si="11"/>
        <v>0</v>
      </c>
      <c r="E590" s="177" t="s">
        <v>144</v>
      </c>
      <c r="F590" s="178"/>
      <c r="G590" s="179"/>
      <c r="H590" s="180" t="s">
        <v>1165</v>
      </c>
      <c r="I590" s="181">
        <v>4.0</v>
      </c>
      <c r="J590" s="182" t="s">
        <v>1420</v>
      </c>
      <c r="K590" s="183"/>
      <c r="L590" s="184" t="s">
        <v>38</v>
      </c>
      <c r="M590" s="185" t="s">
        <v>1962</v>
      </c>
      <c r="N590" s="185" t="s">
        <v>2819</v>
      </c>
      <c r="O590" s="185" t="s">
        <v>2820</v>
      </c>
      <c r="P590" s="185">
        <v>370802.0</v>
      </c>
      <c r="Q590" s="185" t="s">
        <v>1970</v>
      </c>
      <c r="R590" s="185" t="s">
        <v>1971</v>
      </c>
      <c r="S590" s="178"/>
      <c r="T590" s="178"/>
      <c r="U590" s="186"/>
      <c r="V590" s="185">
        <v>2.66304784E8</v>
      </c>
      <c r="W590" s="178"/>
      <c r="X590" s="185" t="s">
        <v>1023</v>
      </c>
      <c r="Y590" s="185" t="s">
        <v>48</v>
      </c>
      <c r="Z590" s="185" t="s">
        <v>49</v>
      </c>
      <c r="AA590" s="185" t="s">
        <v>2746</v>
      </c>
      <c r="AB590" s="185" t="s">
        <v>2807</v>
      </c>
      <c r="AC590" s="178"/>
      <c r="AD590" s="178"/>
      <c r="AE590" s="178"/>
      <c r="AF590" s="178"/>
      <c r="AG590" s="178"/>
      <c r="AH590" s="174"/>
      <c r="AI590" s="174"/>
      <c r="AJ590" s="174"/>
      <c r="AK590" s="174"/>
    </row>
    <row r="591">
      <c r="A591" s="174"/>
      <c r="B591" s="175">
        <v>46142.0</v>
      </c>
      <c r="C591" s="187">
        <v>46163.0</v>
      </c>
      <c r="D591" s="176">
        <f t="shared" si="11"/>
        <v>0</v>
      </c>
      <c r="E591" s="188" t="s">
        <v>2821</v>
      </c>
      <c r="F591" s="178"/>
      <c r="G591" s="179"/>
      <c r="H591" s="189"/>
      <c r="I591" s="181">
        <v>5.0</v>
      </c>
      <c r="J591" s="182" t="s">
        <v>2051</v>
      </c>
      <c r="K591" s="183"/>
      <c r="L591" s="184" t="s">
        <v>250</v>
      </c>
      <c r="M591" s="185" t="s">
        <v>2784</v>
      </c>
      <c r="N591" s="185" t="s">
        <v>2822</v>
      </c>
      <c r="O591" s="185" t="s">
        <v>2786</v>
      </c>
      <c r="P591" s="185">
        <v>372470.0</v>
      </c>
      <c r="Q591" s="185" t="s">
        <v>1196</v>
      </c>
      <c r="R591" s="185" t="s">
        <v>603</v>
      </c>
      <c r="S591" s="178"/>
      <c r="T591" s="178"/>
      <c r="U591" s="185" t="s">
        <v>2823</v>
      </c>
      <c r="V591" s="178"/>
      <c r="W591" s="178"/>
      <c r="X591" s="185" t="s">
        <v>47</v>
      </c>
      <c r="Y591" s="185" t="s">
        <v>48</v>
      </c>
      <c r="Z591" s="185" t="s">
        <v>102</v>
      </c>
      <c r="AA591" s="185" t="s">
        <v>72</v>
      </c>
      <c r="AB591" s="185" t="s">
        <v>1824</v>
      </c>
      <c r="AC591" s="178"/>
      <c r="AD591" s="178"/>
      <c r="AE591" s="178"/>
      <c r="AF591" s="178"/>
      <c r="AG591" s="178"/>
      <c r="AH591" s="174"/>
      <c r="AI591" s="174"/>
      <c r="AJ591" s="174"/>
      <c r="AK591" s="174"/>
    </row>
    <row r="592">
      <c r="A592" s="174"/>
      <c r="B592" s="187">
        <v>46154.0</v>
      </c>
      <c r="C592" s="187">
        <v>46165.0</v>
      </c>
      <c r="D592" s="176">
        <f t="shared" si="11"/>
        <v>0</v>
      </c>
      <c r="E592" s="185" t="s">
        <v>2824</v>
      </c>
      <c r="F592" s="178"/>
      <c r="G592" s="179"/>
      <c r="H592" s="189"/>
      <c r="I592" s="181">
        <v>5.0</v>
      </c>
      <c r="J592" s="182" t="s">
        <v>2051</v>
      </c>
      <c r="K592" s="183"/>
      <c r="L592" s="184" t="s">
        <v>2024</v>
      </c>
      <c r="M592" s="185" t="s">
        <v>2825</v>
      </c>
      <c r="N592" s="185" t="s">
        <v>2826</v>
      </c>
      <c r="O592" s="185" t="s">
        <v>2827</v>
      </c>
      <c r="P592" s="178"/>
      <c r="Q592" s="185" t="s">
        <v>2828</v>
      </c>
      <c r="R592" s="185" t="s">
        <v>559</v>
      </c>
      <c r="S592" s="178"/>
      <c r="T592" s="178"/>
      <c r="U592" s="185" t="s">
        <v>2829</v>
      </c>
      <c r="V592" s="185" t="s">
        <v>2830</v>
      </c>
      <c r="W592" s="178"/>
      <c r="X592" s="185" t="s">
        <v>47</v>
      </c>
      <c r="Y592" s="185" t="s">
        <v>48</v>
      </c>
      <c r="Z592" s="185" t="s">
        <v>102</v>
      </c>
      <c r="AA592" s="185" t="s">
        <v>72</v>
      </c>
      <c r="AB592" s="185" t="s">
        <v>165</v>
      </c>
      <c r="AC592" s="178"/>
      <c r="AD592" s="178"/>
      <c r="AE592" s="178"/>
      <c r="AF592" s="178"/>
      <c r="AG592" s="178"/>
      <c r="AH592" s="174"/>
      <c r="AI592" s="174"/>
      <c r="AJ592" s="174"/>
      <c r="AK592" s="174"/>
    </row>
    <row r="593">
      <c r="A593" s="174"/>
      <c r="B593" s="175">
        <v>46125.0</v>
      </c>
      <c r="C593" s="187">
        <v>46166.0</v>
      </c>
      <c r="D593" s="176">
        <f t="shared" si="11"/>
        <v>0</v>
      </c>
      <c r="E593" s="185" t="s">
        <v>2824</v>
      </c>
      <c r="F593" s="185" t="s">
        <v>2831</v>
      </c>
      <c r="G593" s="190">
        <v>191760.0</v>
      </c>
      <c r="H593" s="180" t="s">
        <v>1165</v>
      </c>
      <c r="I593" s="181">
        <v>4.0</v>
      </c>
      <c r="J593" s="182" t="s">
        <v>1420</v>
      </c>
      <c r="K593" s="183"/>
      <c r="L593" s="184" t="s">
        <v>2790</v>
      </c>
      <c r="M593" s="185" t="s">
        <v>1962</v>
      </c>
      <c r="N593" s="185" t="s">
        <v>2832</v>
      </c>
      <c r="O593" s="185" t="s">
        <v>2833</v>
      </c>
      <c r="P593" s="178"/>
      <c r="Q593" s="185" t="s">
        <v>1970</v>
      </c>
      <c r="R593" s="185" t="s">
        <v>1971</v>
      </c>
      <c r="S593" s="178"/>
      <c r="T593" s="178"/>
      <c r="U593" s="185" t="s">
        <v>2834</v>
      </c>
      <c r="V593" s="178"/>
      <c r="W593" s="178"/>
      <c r="X593" s="185" t="s">
        <v>47</v>
      </c>
      <c r="Y593" s="185" t="s">
        <v>48</v>
      </c>
      <c r="Z593" s="185" t="s">
        <v>49</v>
      </c>
      <c r="AA593" s="185" t="s">
        <v>72</v>
      </c>
      <c r="AB593" s="185" t="s">
        <v>1824</v>
      </c>
      <c r="AC593" s="178"/>
      <c r="AD593" s="178"/>
      <c r="AE593" s="178"/>
      <c r="AF593" s="178"/>
      <c r="AG593" s="178"/>
      <c r="AH593" s="174"/>
      <c r="AI593" s="174"/>
      <c r="AJ593" s="174"/>
      <c r="AK593" s="174"/>
    </row>
    <row r="594">
      <c r="A594" s="174"/>
      <c r="B594" s="175">
        <v>46134.0</v>
      </c>
      <c r="C594" s="187">
        <v>46172.0</v>
      </c>
      <c r="D594" s="176">
        <f t="shared" si="11"/>
        <v>6</v>
      </c>
      <c r="E594" s="177" t="s">
        <v>144</v>
      </c>
      <c r="F594" s="178"/>
      <c r="G594" s="179"/>
      <c r="H594" s="189"/>
      <c r="I594" s="181">
        <v>21.0</v>
      </c>
      <c r="J594" s="182" t="s">
        <v>1420</v>
      </c>
      <c r="K594" s="183"/>
      <c r="L594" s="184" t="s">
        <v>988</v>
      </c>
      <c r="M594" s="185" t="s">
        <v>2835</v>
      </c>
      <c r="N594" s="185" t="s">
        <v>2836</v>
      </c>
      <c r="O594" s="185" t="s">
        <v>2837</v>
      </c>
      <c r="P594" s="185">
        <v>380151.0</v>
      </c>
      <c r="Q594" s="185" t="s">
        <v>1846</v>
      </c>
      <c r="R594" s="185" t="s">
        <v>2654</v>
      </c>
      <c r="S594" s="178"/>
      <c r="T594" s="178"/>
      <c r="U594" s="178"/>
      <c r="V594" s="178"/>
      <c r="W594" s="178"/>
      <c r="X594" s="185" t="s">
        <v>47</v>
      </c>
      <c r="Y594" s="185" t="s">
        <v>120</v>
      </c>
      <c r="Z594" s="185" t="s">
        <v>49</v>
      </c>
      <c r="AA594" s="185" t="s">
        <v>72</v>
      </c>
      <c r="AB594" s="185" t="s">
        <v>1928</v>
      </c>
      <c r="AC594" s="178"/>
      <c r="AD594" s="178"/>
      <c r="AE594" s="178"/>
      <c r="AF594" s="178"/>
      <c r="AG594" s="178"/>
      <c r="AH594" s="174"/>
      <c r="AI594" s="174"/>
      <c r="AJ594" s="174"/>
      <c r="AK594" s="174"/>
    </row>
    <row r="595">
      <c r="A595" s="174"/>
      <c r="B595" s="187">
        <v>46146.0</v>
      </c>
      <c r="C595" s="187">
        <v>46173.0</v>
      </c>
      <c r="D595" s="176">
        <f t="shared" si="11"/>
        <v>7</v>
      </c>
      <c r="E595" s="185" t="s">
        <v>2838</v>
      </c>
      <c r="F595" s="178"/>
      <c r="G595" s="179"/>
      <c r="H595" s="189"/>
      <c r="I595" s="191">
        <v>1.0</v>
      </c>
      <c r="J595" s="182" t="s">
        <v>2051</v>
      </c>
      <c r="K595" s="183"/>
      <c r="L595" s="184" t="s">
        <v>2253</v>
      </c>
      <c r="M595" s="185" t="s">
        <v>2839</v>
      </c>
      <c r="N595" s="185" t="s">
        <v>2840</v>
      </c>
      <c r="O595" s="185" t="s">
        <v>2841</v>
      </c>
      <c r="P595" s="178"/>
      <c r="Q595" s="185" t="s">
        <v>1846</v>
      </c>
      <c r="R595" s="185" t="s">
        <v>1847</v>
      </c>
      <c r="S595" s="178"/>
      <c r="T595" s="178"/>
      <c r="U595" s="185" t="s">
        <v>2842</v>
      </c>
      <c r="V595" s="178"/>
      <c r="W595" s="178"/>
      <c r="X595" s="185" t="s">
        <v>47</v>
      </c>
      <c r="Y595" s="185" t="s">
        <v>120</v>
      </c>
      <c r="Z595" s="185" t="s">
        <v>49</v>
      </c>
      <c r="AA595" s="185" t="s">
        <v>72</v>
      </c>
      <c r="AB595" s="185" t="s">
        <v>2549</v>
      </c>
      <c r="AC595" s="178"/>
      <c r="AD595" s="178"/>
      <c r="AE595" s="178"/>
      <c r="AF595" s="178"/>
      <c r="AG595" s="178"/>
      <c r="AH595" s="174"/>
      <c r="AI595" s="174"/>
      <c r="AJ595" s="174"/>
      <c r="AK595" s="174"/>
    </row>
    <row r="596">
      <c r="A596" s="174"/>
      <c r="B596" s="187">
        <v>46152.0</v>
      </c>
      <c r="C596" s="187">
        <v>46174.0</v>
      </c>
      <c r="D596" s="176">
        <f t="shared" si="11"/>
        <v>8</v>
      </c>
      <c r="E596" s="185" t="s">
        <v>2838</v>
      </c>
      <c r="F596" s="178"/>
      <c r="G596" s="179"/>
      <c r="H596" s="189"/>
      <c r="I596" s="181">
        <v>1.0</v>
      </c>
      <c r="J596" s="182" t="s">
        <v>2051</v>
      </c>
      <c r="K596" s="183"/>
      <c r="L596" s="184" t="s">
        <v>250</v>
      </c>
      <c r="M596" s="185" t="s">
        <v>2843</v>
      </c>
      <c r="N596" s="185">
        <v>262579.0</v>
      </c>
      <c r="O596" s="185" t="s">
        <v>2786</v>
      </c>
      <c r="P596" s="178"/>
      <c r="Q596" s="185" t="s">
        <v>1196</v>
      </c>
      <c r="R596" s="185" t="s">
        <v>603</v>
      </c>
      <c r="S596" s="178"/>
      <c r="T596" s="178"/>
      <c r="U596" s="178"/>
      <c r="V596" s="178"/>
      <c r="W596" s="178"/>
      <c r="X596" s="185" t="s">
        <v>47</v>
      </c>
      <c r="Y596" s="185" t="s">
        <v>48</v>
      </c>
      <c r="Z596" s="185" t="s">
        <v>102</v>
      </c>
      <c r="AA596" s="185" t="s">
        <v>72</v>
      </c>
      <c r="AB596" s="185" t="s">
        <v>1824</v>
      </c>
      <c r="AC596" s="178"/>
      <c r="AD596" s="178"/>
      <c r="AE596" s="178"/>
      <c r="AF596" s="178"/>
      <c r="AG596" s="178"/>
      <c r="AH596" s="174"/>
      <c r="AI596" s="174"/>
      <c r="AJ596" s="174"/>
      <c r="AK596" s="174"/>
    </row>
    <row r="597">
      <c r="A597" s="192"/>
      <c r="B597" s="175">
        <v>46147.0</v>
      </c>
      <c r="C597" s="187">
        <v>46177.0</v>
      </c>
      <c r="D597" s="176">
        <f t="shared" si="11"/>
        <v>11</v>
      </c>
      <c r="E597" s="193" t="s">
        <v>2838</v>
      </c>
      <c r="F597" s="194"/>
      <c r="G597" s="195"/>
      <c r="H597" s="196" t="s">
        <v>2737</v>
      </c>
      <c r="I597" s="197">
        <v>7.0</v>
      </c>
      <c r="J597" s="198" t="s">
        <v>2051</v>
      </c>
      <c r="K597" s="199"/>
      <c r="L597" s="200" t="s">
        <v>145</v>
      </c>
      <c r="M597" s="193" t="s">
        <v>2844</v>
      </c>
      <c r="N597" s="193" t="s">
        <v>2845</v>
      </c>
      <c r="O597" s="193" t="s">
        <v>2846</v>
      </c>
      <c r="P597" s="194"/>
      <c r="Q597" s="193" t="s">
        <v>148</v>
      </c>
      <c r="R597" s="193" t="s">
        <v>149</v>
      </c>
      <c r="S597" s="194"/>
      <c r="T597" s="194"/>
      <c r="U597" s="193" t="s">
        <v>2847</v>
      </c>
      <c r="V597" s="194"/>
      <c r="W597" s="194"/>
      <c r="X597" s="193" t="s">
        <v>47</v>
      </c>
      <c r="Y597" s="193" t="s">
        <v>48</v>
      </c>
      <c r="Z597" s="193" t="s">
        <v>49</v>
      </c>
      <c r="AA597" s="193" t="s">
        <v>72</v>
      </c>
      <c r="AB597" s="193" t="s">
        <v>2848</v>
      </c>
      <c r="AC597" s="194"/>
      <c r="AD597" s="194"/>
      <c r="AE597" s="194"/>
      <c r="AF597" s="194"/>
      <c r="AG597" s="194"/>
      <c r="AH597" s="192"/>
      <c r="AI597" s="192"/>
      <c r="AJ597" s="192"/>
      <c r="AK597" s="192"/>
    </row>
    <row r="598">
      <c r="A598" s="174"/>
      <c r="B598" s="178"/>
      <c r="C598" s="187">
        <v>46188.0</v>
      </c>
      <c r="D598" s="176">
        <f t="shared" si="11"/>
        <v>22</v>
      </c>
      <c r="E598" s="185" t="s">
        <v>2849</v>
      </c>
      <c r="F598" s="178"/>
      <c r="G598" s="179"/>
      <c r="H598" s="189"/>
      <c r="I598" s="181">
        <v>1.0</v>
      </c>
      <c r="J598" s="182" t="s">
        <v>1420</v>
      </c>
      <c r="K598" s="183"/>
      <c r="L598" s="184" t="s">
        <v>168</v>
      </c>
      <c r="M598" s="185" t="s">
        <v>1341</v>
      </c>
      <c r="N598" s="185">
        <v>526103.0</v>
      </c>
      <c r="O598" s="185" t="s">
        <v>2850</v>
      </c>
      <c r="P598" s="178"/>
      <c r="Q598" s="185" t="s">
        <v>1846</v>
      </c>
      <c r="R598" s="185" t="s">
        <v>1847</v>
      </c>
      <c r="S598" s="178"/>
      <c r="T598" s="178"/>
      <c r="U598" s="185" t="s">
        <v>2851</v>
      </c>
      <c r="V598" s="178"/>
      <c r="W598" s="178"/>
      <c r="X598" s="185" t="s">
        <v>47</v>
      </c>
      <c r="Y598" s="185" t="s">
        <v>120</v>
      </c>
      <c r="Z598" s="185" t="s">
        <v>49</v>
      </c>
      <c r="AA598" s="185" t="s">
        <v>1860</v>
      </c>
      <c r="AB598" s="185" t="s">
        <v>2203</v>
      </c>
      <c r="AC598" s="178"/>
      <c r="AD598" s="178"/>
      <c r="AE598" s="178"/>
      <c r="AF598" s="178"/>
      <c r="AG598" s="178"/>
      <c r="AH598" s="174"/>
      <c r="AI598" s="174"/>
      <c r="AJ598" s="174"/>
      <c r="AK598" s="174"/>
    </row>
    <row r="599">
      <c r="A599" s="174"/>
      <c r="B599" s="178"/>
      <c r="C599" s="178"/>
      <c r="D599" s="178"/>
      <c r="E599" s="185" t="s">
        <v>2852</v>
      </c>
      <c r="F599" s="178"/>
      <c r="G599" s="179"/>
      <c r="H599" s="189"/>
      <c r="I599" s="181">
        <v>1.0</v>
      </c>
      <c r="J599" s="182" t="s">
        <v>1420</v>
      </c>
      <c r="K599" s="183"/>
      <c r="L599" s="184" t="s">
        <v>2790</v>
      </c>
      <c r="M599" s="185" t="s">
        <v>2494</v>
      </c>
      <c r="N599" s="185" t="s">
        <v>2853</v>
      </c>
      <c r="O599" s="185" t="s">
        <v>2854</v>
      </c>
      <c r="P599" s="178"/>
      <c r="Q599" s="185" t="s">
        <v>1846</v>
      </c>
      <c r="R599" s="185" t="s">
        <v>1847</v>
      </c>
      <c r="S599" s="178"/>
      <c r="T599" s="178"/>
      <c r="U599" s="178"/>
      <c r="V599" s="178"/>
      <c r="W599" s="178"/>
      <c r="X599" s="185" t="s">
        <v>47</v>
      </c>
      <c r="Y599" s="185" t="s">
        <v>48</v>
      </c>
      <c r="Z599" s="185" t="s">
        <v>102</v>
      </c>
      <c r="AA599" s="185" t="s">
        <v>72</v>
      </c>
      <c r="AB599" s="185" t="s">
        <v>2848</v>
      </c>
      <c r="AC599" s="178"/>
      <c r="AD599" s="178"/>
      <c r="AE599" s="178"/>
      <c r="AF599" s="178"/>
      <c r="AG599" s="178"/>
      <c r="AH599" s="174"/>
      <c r="AI599" s="174"/>
      <c r="AJ599" s="174"/>
      <c r="AK599" s="174"/>
    </row>
    <row r="600">
      <c r="A600" s="174"/>
      <c r="B600" s="178"/>
      <c r="C600" s="178"/>
      <c r="D600" s="178"/>
      <c r="E600" s="185" t="s">
        <v>2849</v>
      </c>
      <c r="F600" s="178"/>
      <c r="G600" s="179"/>
      <c r="H600" s="189"/>
      <c r="I600" s="181">
        <v>1.0</v>
      </c>
      <c r="J600" s="182" t="s">
        <v>2072</v>
      </c>
      <c r="K600" s="183"/>
      <c r="L600" s="184" t="s">
        <v>270</v>
      </c>
      <c r="M600" s="185" t="s">
        <v>2855</v>
      </c>
      <c r="N600" s="185">
        <v>3.03090235E8</v>
      </c>
      <c r="O600" s="185" t="s">
        <v>2856</v>
      </c>
      <c r="P600" s="178"/>
      <c r="Q600" s="185" t="s">
        <v>1280</v>
      </c>
      <c r="R600" s="185" t="s">
        <v>2857</v>
      </c>
      <c r="S600" s="178"/>
      <c r="T600" s="178"/>
      <c r="U600" s="185" t="s">
        <v>2858</v>
      </c>
      <c r="V600" s="178"/>
      <c r="W600" s="178"/>
      <c r="X600" s="185" t="s">
        <v>47</v>
      </c>
      <c r="Y600" s="185" t="s">
        <v>48</v>
      </c>
      <c r="Z600" s="185" t="s">
        <v>102</v>
      </c>
      <c r="AA600" s="185" t="s">
        <v>970</v>
      </c>
      <c r="AB600" s="185" t="s">
        <v>2848</v>
      </c>
      <c r="AC600" s="178"/>
      <c r="AD600" s="178"/>
      <c r="AE600" s="178"/>
      <c r="AF600" s="178"/>
      <c r="AG600" s="178"/>
      <c r="AH600" s="174"/>
      <c r="AI600" s="174"/>
      <c r="AJ600" s="174"/>
      <c r="AK600" s="174"/>
    </row>
    <row r="601">
      <c r="A601" s="174"/>
      <c r="B601" s="178"/>
      <c r="C601" s="187">
        <v>46183.0</v>
      </c>
      <c r="D601" s="176">
        <f t="shared" ref="D601:D602" si="13">IF(C601-TODAY()&gt;0,C601-TODAY(),0)</f>
        <v>17</v>
      </c>
      <c r="E601" s="185" t="s">
        <v>2859</v>
      </c>
      <c r="F601" s="178"/>
      <c r="G601" s="179"/>
      <c r="H601" s="189"/>
      <c r="I601" s="181">
        <v>4.0</v>
      </c>
      <c r="J601" s="182" t="s">
        <v>2051</v>
      </c>
      <c r="K601" s="183"/>
      <c r="L601" s="184" t="s">
        <v>270</v>
      </c>
      <c r="M601" s="185" t="s">
        <v>2860</v>
      </c>
      <c r="N601" s="185" t="s">
        <v>2861</v>
      </c>
      <c r="O601" s="185" t="s">
        <v>2862</v>
      </c>
      <c r="P601" s="178"/>
      <c r="Q601" s="185" t="s">
        <v>1280</v>
      </c>
      <c r="R601" s="185" t="s">
        <v>1959</v>
      </c>
      <c r="S601" s="178"/>
      <c r="T601" s="178"/>
      <c r="U601" s="178"/>
      <c r="V601" s="178"/>
      <c r="W601" s="178"/>
      <c r="X601" s="185" t="s">
        <v>47</v>
      </c>
      <c r="Y601" s="185" t="s">
        <v>48</v>
      </c>
      <c r="Z601" s="185" t="s">
        <v>102</v>
      </c>
      <c r="AA601" s="185" t="s">
        <v>2863</v>
      </c>
      <c r="AB601" s="185" t="s">
        <v>1589</v>
      </c>
      <c r="AC601" s="178"/>
      <c r="AD601" s="178"/>
      <c r="AE601" s="178"/>
      <c r="AF601" s="178"/>
      <c r="AG601" s="178"/>
      <c r="AH601" s="174"/>
      <c r="AI601" s="174"/>
      <c r="AJ601" s="174"/>
      <c r="AK601" s="174"/>
    </row>
    <row r="602">
      <c r="A602" s="174"/>
      <c r="B602" s="178"/>
      <c r="C602" s="187">
        <v>46188.0</v>
      </c>
      <c r="D602" s="176">
        <f t="shared" si="13"/>
        <v>22</v>
      </c>
      <c r="E602" s="185" t="s">
        <v>2864</v>
      </c>
      <c r="F602" s="178"/>
      <c r="G602" s="179"/>
      <c r="H602" s="189"/>
      <c r="I602" s="181">
        <v>3.0</v>
      </c>
      <c r="J602" s="182" t="s">
        <v>2051</v>
      </c>
      <c r="K602" s="183"/>
      <c r="L602" s="184" t="s">
        <v>270</v>
      </c>
      <c r="M602" s="185" t="s">
        <v>2860</v>
      </c>
      <c r="N602" s="185" t="s">
        <v>2865</v>
      </c>
      <c r="O602" s="185" t="s">
        <v>2862</v>
      </c>
      <c r="P602" s="178"/>
      <c r="Q602" s="185" t="s">
        <v>1280</v>
      </c>
      <c r="R602" s="185" t="s">
        <v>1959</v>
      </c>
      <c r="S602" s="178"/>
      <c r="T602" s="178"/>
      <c r="U602" s="178"/>
      <c r="V602" s="178"/>
      <c r="W602" s="178"/>
      <c r="X602" s="185" t="s">
        <v>47</v>
      </c>
      <c r="Y602" s="185" t="s">
        <v>48</v>
      </c>
      <c r="Z602" s="185" t="s">
        <v>102</v>
      </c>
      <c r="AA602" s="185" t="s">
        <v>2863</v>
      </c>
      <c r="AB602" s="185" t="s">
        <v>1589</v>
      </c>
      <c r="AC602" s="178"/>
      <c r="AD602" s="178"/>
      <c r="AE602" s="178"/>
      <c r="AF602" s="178"/>
      <c r="AG602" s="178"/>
      <c r="AH602" s="174"/>
      <c r="AI602" s="174"/>
      <c r="AJ602" s="174"/>
      <c r="AK602" s="174"/>
    </row>
    <row r="603">
      <c r="A603" s="174"/>
      <c r="B603" s="178"/>
      <c r="C603" s="178"/>
      <c r="D603" s="178"/>
      <c r="E603" s="185" t="s">
        <v>2866</v>
      </c>
      <c r="F603" s="178"/>
      <c r="G603" s="179"/>
      <c r="H603" s="189"/>
      <c r="I603" s="181">
        <v>1.0</v>
      </c>
      <c r="J603" s="182" t="s">
        <v>2051</v>
      </c>
      <c r="K603" s="183"/>
      <c r="L603" s="184" t="s">
        <v>270</v>
      </c>
      <c r="M603" s="185" t="s">
        <v>2860</v>
      </c>
      <c r="N603" s="185">
        <v>3.03277217E8</v>
      </c>
      <c r="O603" s="185" t="s">
        <v>2862</v>
      </c>
      <c r="P603" s="178"/>
      <c r="Q603" s="185" t="s">
        <v>1280</v>
      </c>
      <c r="R603" s="185" t="s">
        <v>1959</v>
      </c>
      <c r="S603" s="178"/>
      <c r="T603" s="178"/>
      <c r="U603" s="178"/>
      <c r="V603" s="178"/>
      <c r="W603" s="178"/>
      <c r="X603" s="185" t="s">
        <v>47</v>
      </c>
      <c r="Y603" s="185" t="s">
        <v>48</v>
      </c>
      <c r="Z603" s="185" t="s">
        <v>102</v>
      </c>
      <c r="AA603" s="185" t="s">
        <v>2863</v>
      </c>
      <c r="AB603" s="185" t="s">
        <v>1589</v>
      </c>
      <c r="AC603" s="178"/>
      <c r="AD603" s="178"/>
      <c r="AE603" s="178"/>
      <c r="AF603" s="178"/>
      <c r="AG603" s="178"/>
      <c r="AH603" s="174"/>
      <c r="AI603" s="174"/>
      <c r="AJ603" s="174"/>
      <c r="AK603" s="174"/>
    </row>
    <row r="604">
      <c r="A604" s="174"/>
      <c r="B604" s="178"/>
      <c r="C604" s="178"/>
      <c r="D604" s="178"/>
      <c r="E604" s="185" t="s">
        <v>2867</v>
      </c>
      <c r="F604" s="178"/>
      <c r="G604" s="179"/>
      <c r="H604" s="189"/>
      <c r="I604" s="181">
        <v>5.0</v>
      </c>
      <c r="J604" s="182" t="s">
        <v>2051</v>
      </c>
      <c r="K604" s="183"/>
      <c r="L604" s="184" t="s">
        <v>2024</v>
      </c>
      <c r="M604" s="185" t="s">
        <v>2825</v>
      </c>
      <c r="N604" s="185" t="s">
        <v>2868</v>
      </c>
      <c r="O604" s="185" t="s">
        <v>2827</v>
      </c>
      <c r="P604" s="178"/>
      <c r="Q604" s="185" t="s">
        <v>2828</v>
      </c>
      <c r="R604" s="185" t="s">
        <v>559</v>
      </c>
      <c r="S604" s="178"/>
      <c r="T604" s="178"/>
      <c r="U604" s="178"/>
      <c r="V604" s="178"/>
      <c r="W604" s="178"/>
      <c r="X604" s="185" t="s">
        <v>47</v>
      </c>
      <c r="Y604" s="185" t="s">
        <v>48</v>
      </c>
      <c r="Z604" s="185" t="s">
        <v>102</v>
      </c>
      <c r="AA604" s="185" t="s">
        <v>1860</v>
      </c>
      <c r="AB604" s="185" t="s">
        <v>1824</v>
      </c>
      <c r="AC604" s="178"/>
      <c r="AD604" s="178"/>
      <c r="AE604" s="178"/>
      <c r="AF604" s="178"/>
      <c r="AG604" s="178"/>
      <c r="AH604" s="174"/>
      <c r="AI604" s="174"/>
      <c r="AJ604" s="174"/>
      <c r="AK604" s="174"/>
    </row>
    <row r="605">
      <c r="A605" s="174"/>
      <c r="B605" s="178"/>
      <c r="C605" s="178"/>
      <c r="D605" s="178"/>
      <c r="E605" s="185" t="s">
        <v>2867</v>
      </c>
      <c r="F605" s="178"/>
      <c r="G605" s="179"/>
      <c r="H605" s="189"/>
      <c r="I605" s="181">
        <v>2.0</v>
      </c>
      <c r="J605" s="201"/>
      <c r="K605" s="183"/>
      <c r="L605" s="184" t="s">
        <v>2253</v>
      </c>
      <c r="M605" s="178"/>
      <c r="N605" s="185" t="s">
        <v>2869</v>
      </c>
      <c r="O605" s="185" t="s">
        <v>2805</v>
      </c>
      <c r="P605" s="178"/>
      <c r="Q605" s="185" t="s">
        <v>1846</v>
      </c>
      <c r="R605" s="185" t="s">
        <v>1847</v>
      </c>
      <c r="S605" s="178"/>
      <c r="T605" s="178"/>
      <c r="U605" s="178"/>
      <c r="V605" s="178"/>
      <c r="W605" s="178"/>
      <c r="X605" s="185" t="s">
        <v>47</v>
      </c>
      <c r="Y605" s="185" t="s">
        <v>48</v>
      </c>
      <c r="Z605" s="185" t="s">
        <v>49</v>
      </c>
      <c r="AA605" s="185" t="s">
        <v>72</v>
      </c>
      <c r="AB605" s="185" t="s">
        <v>2870</v>
      </c>
      <c r="AC605" s="178"/>
      <c r="AD605" s="178"/>
      <c r="AE605" s="178"/>
      <c r="AF605" s="178"/>
      <c r="AG605" s="178"/>
      <c r="AH605" s="174"/>
      <c r="AI605" s="174"/>
      <c r="AJ605" s="174"/>
      <c r="AK605" s="174"/>
    </row>
    <row r="606">
      <c r="A606" s="174"/>
      <c r="B606" s="178"/>
      <c r="C606" s="178"/>
      <c r="D606" s="178"/>
      <c r="E606" s="185" t="s">
        <v>2867</v>
      </c>
      <c r="F606" s="178"/>
      <c r="G606" s="179"/>
      <c r="H606" s="189"/>
      <c r="I606" s="181">
        <v>2.0</v>
      </c>
      <c r="J606" s="201"/>
      <c r="K606" s="183"/>
      <c r="L606" s="184" t="s">
        <v>2253</v>
      </c>
      <c r="M606" s="178"/>
      <c r="N606" s="185" t="s">
        <v>2871</v>
      </c>
      <c r="O606" s="185" t="s">
        <v>2805</v>
      </c>
      <c r="P606" s="178"/>
      <c r="Q606" s="185" t="s">
        <v>1846</v>
      </c>
      <c r="R606" s="185" t="s">
        <v>116</v>
      </c>
      <c r="S606" s="178"/>
      <c r="T606" s="178"/>
      <c r="U606" s="178"/>
      <c r="V606" s="178"/>
      <c r="W606" s="178"/>
      <c r="X606" s="185" t="s">
        <v>47</v>
      </c>
      <c r="Y606" s="185" t="s">
        <v>48</v>
      </c>
      <c r="Z606" s="185" t="s">
        <v>49</v>
      </c>
      <c r="AA606" s="185" t="s">
        <v>1860</v>
      </c>
      <c r="AB606" s="185" t="s">
        <v>1928</v>
      </c>
      <c r="AC606" s="178"/>
      <c r="AD606" s="178"/>
      <c r="AE606" s="178"/>
      <c r="AF606" s="178"/>
      <c r="AG606" s="178"/>
      <c r="AH606" s="174"/>
      <c r="AI606" s="174"/>
      <c r="AJ606" s="174"/>
      <c r="AK606" s="174"/>
    </row>
    <row r="607">
      <c r="A607" s="174"/>
      <c r="B607" s="178"/>
      <c r="C607" s="178"/>
      <c r="D607" s="178"/>
      <c r="E607" s="185" t="s">
        <v>2867</v>
      </c>
      <c r="F607" s="178"/>
      <c r="G607" s="179"/>
      <c r="H607" s="189"/>
      <c r="I607" s="181">
        <v>2.0</v>
      </c>
      <c r="J607" s="182" t="s">
        <v>2051</v>
      </c>
      <c r="K607" s="183"/>
      <c r="L607" s="184" t="s">
        <v>2067</v>
      </c>
      <c r="M607" s="178"/>
      <c r="N607" s="185" t="s">
        <v>2872</v>
      </c>
      <c r="O607" s="178"/>
      <c r="P607" s="178"/>
      <c r="Q607" s="185" t="s">
        <v>2053</v>
      </c>
      <c r="R607" s="185" t="s">
        <v>1608</v>
      </c>
      <c r="S607" s="178"/>
      <c r="T607" s="178"/>
      <c r="U607" s="178"/>
      <c r="V607" s="178"/>
      <c r="W607" s="178"/>
      <c r="X607" s="185" t="s">
        <v>47</v>
      </c>
      <c r="Y607" s="185" t="s">
        <v>48</v>
      </c>
      <c r="Z607" s="185" t="s">
        <v>49</v>
      </c>
      <c r="AA607" s="185" t="s">
        <v>1860</v>
      </c>
      <c r="AB607" s="185" t="s">
        <v>1410</v>
      </c>
      <c r="AC607" s="178"/>
      <c r="AD607" s="178"/>
      <c r="AE607" s="178"/>
      <c r="AF607" s="178"/>
      <c r="AG607" s="178"/>
      <c r="AH607" s="174"/>
      <c r="AI607" s="174"/>
      <c r="AJ607" s="174"/>
      <c r="AK607" s="174"/>
    </row>
    <row r="608">
      <c r="A608" s="174"/>
      <c r="B608" s="178"/>
      <c r="C608" s="178"/>
      <c r="D608" s="178"/>
      <c r="E608" s="178"/>
      <c r="F608" s="178"/>
      <c r="G608" s="179"/>
      <c r="H608" s="189"/>
      <c r="I608" s="202"/>
      <c r="J608" s="201"/>
      <c r="K608" s="183"/>
      <c r="L608" s="203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4"/>
      <c r="AI608" s="174"/>
      <c r="AJ608" s="174"/>
      <c r="AK608" s="174"/>
    </row>
    <row r="609">
      <c r="A609" s="174"/>
      <c r="B609" s="178"/>
      <c r="C609" s="178"/>
      <c r="D609" s="178"/>
      <c r="E609" s="178"/>
      <c r="F609" s="178"/>
      <c r="G609" s="179"/>
      <c r="H609" s="189"/>
      <c r="I609" s="202"/>
      <c r="J609" s="201"/>
      <c r="K609" s="183"/>
      <c r="L609" s="203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4"/>
      <c r="AI609" s="174"/>
      <c r="AJ609" s="174"/>
      <c r="AK609" s="174"/>
    </row>
    <row r="610">
      <c r="A610" s="174"/>
      <c r="B610" s="178"/>
      <c r="C610" s="178"/>
      <c r="D610" s="178"/>
      <c r="E610" s="178"/>
      <c r="F610" s="178"/>
      <c r="G610" s="179"/>
      <c r="H610" s="189"/>
      <c r="I610" s="202"/>
      <c r="J610" s="201"/>
      <c r="K610" s="183"/>
      <c r="L610" s="203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4"/>
      <c r="AI610" s="174"/>
      <c r="AJ610" s="174"/>
      <c r="AK610" s="174"/>
    </row>
    <row r="611">
      <c r="A611" s="174"/>
      <c r="B611" s="178"/>
      <c r="C611" s="178"/>
      <c r="D611" s="178"/>
      <c r="E611" s="178"/>
      <c r="F611" s="178"/>
      <c r="G611" s="179"/>
      <c r="H611" s="189"/>
      <c r="I611" s="202"/>
      <c r="J611" s="201"/>
      <c r="K611" s="183"/>
      <c r="L611" s="203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4"/>
      <c r="AI611" s="174"/>
      <c r="AJ611" s="174"/>
      <c r="AK611" s="174"/>
    </row>
    <row r="612">
      <c r="A612" s="174"/>
      <c r="B612" s="178"/>
      <c r="C612" s="178"/>
      <c r="D612" s="178"/>
      <c r="E612" s="178"/>
      <c r="F612" s="178"/>
      <c r="G612" s="179"/>
      <c r="H612" s="189"/>
      <c r="I612" s="202"/>
      <c r="J612" s="201"/>
      <c r="K612" s="183"/>
      <c r="L612" s="203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4"/>
      <c r="AI612" s="174"/>
      <c r="AJ612" s="174"/>
      <c r="AK612" s="174"/>
    </row>
    <row r="613">
      <c r="A613" s="174"/>
      <c r="B613" s="178"/>
      <c r="C613" s="178"/>
      <c r="D613" s="178"/>
      <c r="E613" s="178"/>
      <c r="F613" s="178"/>
      <c r="G613" s="179"/>
      <c r="H613" s="189"/>
      <c r="I613" s="202"/>
      <c r="J613" s="201"/>
      <c r="K613" s="183"/>
      <c r="L613" s="203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4"/>
      <c r="AI613" s="174"/>
      <c r="AJ613" s="174"/>
      <c r="AK613" s="174"/>
    </row>
    <row r="614">
      <c r="A614" s="174"/>
      <c r="B614" s="178"/>
      <c r="C614" s="178"/>
      <c r="D614" s="178"/>
      <c r="E614" s="178"/>
      <c r="F614" s="178"/>
      <c r="G614" s="179"/>
      <c r="H614" s="189"/>
      <c r="I614" s="202"/>
      <c r="J614" s="201"/>
      <c r="K614" s="183"/>
      <c r="L614" s="203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4"/>
      <c r="AI614" s="174"/>
      <c r="AJ614" s="174"/>
      <c r="AK614" s="174"/>
    </row>
    <row r="615">
      <c r="A615" s="174"/>
      <c r="B615" s="178"/>
      <c r="C615" s="178"/>
      <c r="D615" s="178"/>
      <c r="E615" s="178"/>
      <c r="F615" s="178"/>
      <c r="G615" s="179"/>
      <c r="H615" s="189"/>
      <c r="I615" s="202"/>
      <c r="J615" s="201"/>
      <c r="K615" s="183"/>
      <c r="L615" s="203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4"/>
      <c r="AI615" s="174"/>
      <c r="AJ615" s="174"/>
      <c r="AK615" s="174"/>
    </row>
    <row r="616">
      <c r="A616" s="174"/>
      <c r="B616" s="178"/>
      <c r="C616" s="178"/>
      <c r="D616" s="178"/>
      <c r="E616" s="178"/>
      <c r="F616" s="178"/>
      <c r="G616" s="179"/>
      <c r="H616" s="189"/>
      <c r="I616" s="202"/>
      <c r="J616" s="201"/>
      <c r="K616" s="183"/>
      <c r="L616" s="203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4"/>
      <c r="AI616" s="174"/>
      <c r="AJ616" s="174"/>
      <c r="AK616" s="174"/>
    </row>
    <row r="617">
      <c r="A617" s="174"/>
      <c r="B617" s="178"/>
      <c r="C617" s="178"/>
      <c r="D617" s="178"/>
      <c r="E617" s="178"/>
      <c r="F617" s="178"/>
      <c r="G617" s="179"/>
      <c r="H617" s="189"/>
      <c r="I617" s="202"/>
      <c r="J617" s="201"/>
      <c r="K617" s="183"/>
      <c r="L617" s="203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4"/>
      <c r="AI617" s="174"/>
      <c r="AJ617" s="174"/>
      <c r="AK617" s="174"/>
    </row>
    <row r="618">
      <c r="A618" s="174"/>
      <c r="B618" s="178"/>
      <c r="C618" s="178"/>
      <c r="D618" s="178"/>
      <c r="E618" s="178"/>
      <c r="F618" s="178"/>
      <c r="G618" s="179"/>
      <c r="H618" s="189"/>
      <c r="I618" s="202"/>
      <c r="J618" s="201"/>
      <c r="K618" s="183"/>
      <c r="L618" s="203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4"/>
      <c r="AI618" s="174"/>
      <c r="AJ618" s="174"/>
      <c r="AK618" s="174"/>
    </row>
    <row r="619">
      <c r="A619" s="174"/>
      <c r="B619" s="178"/>
      <c r="C619" s="178"/>
      <c r="D619" s="178"/>
      <c r="E619" s="178"/>
      <c r="F619" s="178"/>
      <c r="G619" s="179"/>
      <c r="H619" s="189"/>
      <c r="I619" s="202"/>
      <c r="J619" s="201"/>
      <c r="K619" s="183"/>
      <c r="L619" s="203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4"/>
      <c r="AI619" s="174"/>
      <c r="AJ619" s="174"/>
      <c r="AK619" s="174"/>
    </row>
    <row r="620">
      <c r="A620" s="174"/>
      <c r="B620" s="178"/>
      <c r="C620" s="178"/>
      <c r="D620" s="178"/>
      <c r="E620" s="178"/>
      <c r="F620" s="178"/>
      <c r="G620" s="179"/>
      <c r="H620" s="189"/>
      <c r="I620" s="202"/>
      <c r="J620" s="201"/>
      <c r="K620" s="183"/>
      <c r="L620" s="203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4"/>
      <c r="AI620" s="174"/>
      <c r="AJ620" s="174"/>
      <c r="AK620" s="174"/>
    </row>
    <row r="621">
      <c r="A621" s="174"/>
      <c r="B621" s="178"/>
      <c r="C621" s="178"/>
      <c r="D621" s="178"/>
      <c r="E621" s="178"/>
      <c r="F621" s="178"/>
      <c r="G621" s="179"/>
      <c r="H621" s="189"/>
      <c r="I621" s="202"/>
      <c r="J621" s="201"/>
      <c r="K621" s="183"/>
      <c r="L621" s="203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4"/>
      <c r="AI621" s="174"/>
      <c r="AJ621" s="174"/>
      <c r="AK621" s="174"/>
    </row>
    <row r="622">
      <c r="A622" s="174"/>
      <c r="B622" s="178"/>
      <c r="C622" s="178"/>
      <c r="D622" s="178"/>
      <c r="E622" s="178"/>
      <c r="F622" s="178"/>
      <c r="G622" s="179"/>
      <c r="H622" s="189"/>
      <c r="I622" s="202"/>
      <c r="J622" s="201"/>
      <c r="K622" s="183"/>
      <c r="L622" s="203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4"/>
      <c r="AI622" s="174"/>
      <c r="AJ622" s="174"/>
      <c r="AK622" s="174"/>
    </row>
    <row r="623">
      <c r="A623" s="174"/>
      <c r="B623" s="178"/>
      <c r="C623" s="178"/>
      <c r="D623" s="178"/>
      <c r="E623" s="178"/>
      <c r="F623" s="178"/>
      <c r="G623" s="179"/>
      <c r="H623" s="189"/>
      <c r="I623" s="202"/>
      <c r="J623" s="201"/>
      <c r="K623" s="183"/>
      <c r="L623" s="203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4"/>
      <c r="AI623" s="174"/>
      <c r="AJ623" s="174"/>
      <c r="AK623" s="174"/>
    </row>
    <row r="624">
      <c r="A624" s="174"/>
      <c r="B624" s="178"/>
      <c r="C624" s="178"/>
      <c r="D624" s="178"/>
      <c r="E624" s="178"/>
      <c r="F624" s="178"/>
      <c r="G624" s="179"/>
      <c r="H624" s="189"/>
      <c r="I624" s="202"/>
      <c r="J624" s="201"/>
      <c r="K624" s="183"/>
      <c r="L624" s="203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4"/>
      <c r="AI624" s="174"/>
      <c r="AJ624" s="174"/>
      <c r="AK624" s="174"/>
    </row>
    <row r="625">
      <c r="A625" s="174"/>
      <c r="B625" s="178"/>
      <c r="C625" s="178"/>
      <c r="D625" s="178"/>
      <c r="E625" s="178"/>
      <c r="F625" s="178"/>
      <c r="G625" s="179"/>
      <c r="H625" s="189"/>
      <c r="I625" s="202"/>
      <c r="J625" s="201"/>
      <c r="K625" s="183"/>
      <c r="L625" s="203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4"/>
      <c r="AI625" s="174"/>
      <c r="AJ625" s="174"/>
      <c r="AK625" s="174"/>
    </row>
    <row r="626">
      <c r="A626" s="174"/>
      <c r="B626" s="178"/>
      <c r="C626" s="178"/>
      <c r="D626" s="178"/>
      <c r="E626" s="178"/>
      <c r="F626" s="178"/>
      <c r="G626" s="179"/>
      <c r="H626" s="189"/>
      <c r="I626" s="202"/>
      <c r="J626" s="201"/>
      <c r="K626" s="183"/>
      <c r="L626" s="203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4"/>
      <c r="AI626" s="174"/>
      <c r="AJ626" s="174"/>
      <c r="AK626" s="174"/>
    </row>
    <row r="627">
      <c r="A627" s="174"/>
      <c r="B627" s="178"/>
      <c r="C627" s="178"/>
      <c r="D627" s="178"/>
      <c r="E627" s="178"/>
      <c r="F627" s="178"/>
      <c r="G627" s="179"/>
      <c r="H627" s="189"/>
      <c r="I627" s="202"/>
      <c r="J627" s="201"/>
      <c r="K627" s="183"/>
      <c r="L627" s="203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4"/>
      <c r="AI627" s="174"/>
      <c r="AJ627" s="174"/>
      <c r="AK627" s="174"/>
    </row>
    <row r="628">
      <c r="A628" s="174"/>
      <c r="B628" s="178"/>
      <c r="C628" s="178"/>
      <c r="D628" s="178"/>
      <c r="E628" s="178"/>
      <c r="F628" s="178"/>
      <c r="G628" s="179"/>
      <c r="H628" s="189"/>
      <c r="I628" s="202"/>
      <c r="J628" s="201"/>
      <c r="K628" s="183"/>
      <c r="L628" s="203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4"/>
      <c r="AI628" s="174"/>
      <c r="AJ628" s="174"/>
      <c r="AK628" s="174"/>
    </row>
    <row r="629">
      <c r="A629" s="174"/>
      <c r="B629" s="178"/>
      <c r="C629" s="178"/>
      <c r="D629" s="178"/>
      <c r="E629" s="178"/>
      <c r="F629" s="178"/>
      <c r="G629" s="179"/>
      <c r="H629" s="189"/>
      <c r="I629" s="202"/>
      <c r="J629" s="201"/>
      <c r="K629" s="183"/>
      <c r="L629" s="203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4"/>
      <c r="AI629" s="174"/>
      <c r="AJ629" s="174"/>
      <c r="AK629" s="174"/>
    </row>
    <row r="630">
      <c r="A630" s="174"/>
      <c r="B630" s="178"/>
      <c r="C630" s="178"/>
      <c r="D630" s="178"/>
      <c r="E630" s="178"/>
      <c r="F630" s="178"/>
      <c r="G630" s="179"/>
      <c r="H630" s="189"/>
      <c r="I630" s="202"/>
      <c r="J630" s="201"/>
      <c r="K630" s="183"/>
      <c r="L630" s="203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4"/>
      <c r="AI630" s="174"/>
      <c r="AJ630" s="174"/>
      <c r="AK630" s="174"/>
    </row>
    <row r="631">
      <c r="A631" s="174"/>
      <c r="B631" s="178"/>
      <c r="C631" s="178"/>
      <c r="D631" s="178"/>
      <c r="E631" s="178"/>
      <c r="F631" s="178"/>
      <c r="G631" s="179"/>
      <c r="H631" s="189"/>
      <c r="I631" s="202"/>
      <c r="J631" s="201"/>
      <c r="K631" s="183"/>
      <c r="L631" s="203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4"/>
      <c r="AI631" s="174"/>
      <c r="AJ631" s="174"/>
      <c r="AK631" s="174"/>
    </row>
    <row r="632">
      <c r="A632" s="174"/>
      <c r="B632" s="178"/>
      <c r="C632" s="178"/>
      <c r="D632" s="178"/>
      <c r="E632" s="178"/>
      <c r="F632" s="178"/>
      <c r="G632" s="179"/>
      <c r="H632" s="189"/>
      <c r="I632" s="202"/>
      <c r="J632" s="201"/>
      <c r="K632" s="183"/>
      <c r="L632" s="203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4"/>
      <c r="AI632" s="174"/>
      <c r="AJ632" s="174"/>
      <c r="AK632" s="174"/>
    </row>
    <row r="633">
      <c r="A633" s="174"/>
      <c r="B633" s="178"/>
      <c r="C633" s="178"/>
      <c r="D633" s="178"/>
      <c r="E633" s="178"/>
      <c r="F633" s="178"/>
      <c r="G633" s="179"/>
      <c r="H633" s="189"/>
      <c r="I633" s="202"/>
      <c r="J633" s="201"/>
      <c r="K633" s="183"/>
      <c r="L633" s="203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4"/>
      <c r="AI633" s="174"/>
      <c r="AJ633" s="174"/>
      <c r="AK633" s="174"/>
    </row>
    <row r="634">
      <c r="A634" s="174"/>
      <c r="B634" s="178"/>
      <c r="C634" s="178"/>
      <c r="D634" s="178"/>
      <c r="E634" s="178"/>
      <c r="F634" s="178"/>
      <c r="G634" s="179"/>
      <c r="H634" s="189"/>
      <c r="I634" s="202"/>
      <c r="J634" s="201"/>
      <c r="K634" s="183"/>
      <c r="L634" s="203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4"/>
      <c r="AI634" s="174"/>
      <c r="AJ634" s="174"/>
      <c r="AK634" s="174"/>
    </row>
    <row r="635">
      <c r="A635" s="174"/>
      <c r="B635" s="178"/>
      <c r="C635" s="178"/>
      <c r="D635" s="178"/>
      <c r="E635" s="178"/>
      <c r="F635" s="178"/>
      <c r="G635" s="179"/>
      <c r="H635" s="189"/>
      <c r="I635" s="202"/>
      <c r="J635" s="201"/>
      <c r="K635" s="183"/>
      <c r="L635" s="203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4"/>
      <c r="AI635" s="174"/>
      <c r="AJ635" s="174"/>
      <c r="AK635" s="174"/>
    </row>
    <row r="636">
      <c r="A636" s="174"/>
      <c r="B636" s="178"/>
      <c r="C636" s="178"/>
      <c r="D636" s="178"/>
      <c r="E636" s="178"/>
      <c r="F636" s="178"/>
      <c r="G636" s="179"/>
      <c r="H636" s="189"/>
      <c r="I636" s="202"/>
      <c r="J636" s="201"/>
      <c r="K636" s="183"/>
      <c r="L636" s="203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4"/>
      <c r="AI636" s="174"/>
      <c r="AJ636" s="174"/>
      <c r="AK636" s="174"/>
    </row>
    <row r="637">
      <c r="A637" s="174"/>
      <c r="B637" s="178"/>
      <c r="C637" s="178"/>
      <c r="D637" s="178"/>
      <c r="E637" s="178"/>
      <c r="F637" s="178"/>
      <c r="G637" s="179"/>
      <c r="H637" s="189"/>
      <c r="I637" s="202"/>
      <c r="J637" s="201"/>
      <c r="K637" s="183"/>
      <c r="L637" s="203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4"/>
      <c r="AI637" s="174"/>
      <c r="AJ637" s="174"/>
      <c r="AK637" s="174"/>
    </row>
    <row r="638">
      <c r="A638" s="174"/>
      <c r="B638" s="178"/>
      <c r="C638" s="178"/>
      <c r="D638" s="178"/>
      <c r="E638" s="178"/>
      <c r="F638" s="178"/>
      <c r="G638" s="179"/>
      <c r="H638" s="189"/>
      <c r="I638" s="202"/>
      <c r="J638" s="201"/>
      <c r="K638" s="183"/>
      <c r="L638" s="203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4"/>
      <c r="AI638" s="174"/>
      <c r="AJ638" s="174"/>
      <c r="AK638" s="174"/>
    </row>
    <row r="639">
      <c r="A639" s="174"/>
      <c r="B639" s="178"/>
      <c r="C639" s="178"/>
      <c r="D639" s="178"/>
      <c r="E639" s="178"/>
      <c r="F639" s="178"/>
      <c r="G639" s="179"/>
      <c r="H639" s="189"/>
      <c r="I639" s="202"/>
      <c r="J639" s="201"/>
      <c r="K639" s="183"/>
      <c r="L639" s="203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4"/>
      <c r="AI639" s="174"/>
      <c r="AJ639" s="174"/>
      <c r="AK639" s="174"/>
    </row>
    <row r="640">
      <c r="A640" s="174"/>
      <c r="B640" s="178"/>
      <c r="C640" s="178"/>
      <c r="D640" s="178"/>
      <c r="E640" s="178"/>
      <c r="F640" s="178"/>
      <c r="G640" s="179"/>
      <c r="H640" s="189"/>
      <c r="I640" s="202"/>
      <c r="J640" s="201"/>
      <c r="K640" s="183"/>
      <c r="L640" s="203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4"/>
      <c r="AI640" s="174"/>
      <c r="AJ640" s="174"/>
      <c r="AK640" s="174"/>
    </row>
    <row r="641">
      <c r="A641" s="174"/>
      <c r="B641" s="178"/>
      <c r="C641" s="178"/>
      <c r="D641" s="178"/>
      <c r="E641" s="178"/>
      <c r="F641" s="178"/>
      <c r="G641" s="179"/>
      <c r="H641" s="189"/>
      <c r="I641" s="202"/>
      <c r="J641" s="201"/>
      <c r="K641" s="183"/>
      <c r="L641" s="203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4"/>
      <c r="AI641" s="174"/>
      <c r="AJ641" s="174"/>
      <c r="AK641" s="174"/>
    </row>
    <row r="642">
      <c r="A642" s="174"/>
      <c r="B642" s="178"/>
      <c r="C642" s="178"/>
      <c r="D642" s="178"/>
      <c r="E642" s="178"/>
      <c r="F642" s="178"/>
      <c r="G642" s="179"/>
      <c r="H642" s="189"/>
      <c r="I642" s="202"/>
      <c r="J642" s="201"/>
      <c r="K642" s="183"/>
      <c r="L642" s="203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4"/>
      <c r="AI642" s="174"/>
      <c r="AJ642" s="174"/>
      <c r="AK642" s="174"/>
    </row>
    <row r="643">
      <c r="A643" s="174"/>
      <c r="B643" s="178"/>
      <c r="C643" s="178"/>
      <c r="D643" s="178"/>
      <c r="E643" s="178"/>
      <c r="F643" s="178"/>
      <c r="G643" s="179"/>
      <c r="H643" s="189"/>
      <c r="I643" s="202"/>
      <c r="J643" s="201"/>
      <c r="K643" s="183"/>
      <c r="L643" s="203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4"/>
      <c r="AI643" s="174"/>
      <c r="AJ643" s="174"/>
      <c r="AK643" s="174"/>
    </row>
    <row r="644">
      <c r="A644" s="174"/>
      <c r="B644" s="178"/>
      <c r="C644" s="178"/>
      <c r="D644" s="178"/>
      <c r="E644" s="178"/>
      <c r="F644" s="178"/>
      <c r="G644" s="179"/>
      <c r="H644" s="189"/>
      <c r="I644" s="202"/>
      <c r="J644" s="201"/>
      <c r="K644" s="183"/>
      <c r="L644" s="203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4"/>
      <c r="AI644" s="174"/>
      <c r="AJ644" s="174"/>
      <c r="AK644" s="174"/>
    </row>
    <row r="645">
      <c r="A645" s="174"/>
      <c r="B645" s="178"/>
      <c r="C645" s="178"/>
      <c r="D645" s="178"/>
      <c r="E645" s="178"/>
      <c r="F645" s="178"/>
      <c r="G645" s="179"/>
      <c r="H645" s="189"/>
      <c r="I645" s="202"/>
      <c r="J645" s="201"/>
      <c r="K645" s="183"/>
      <c r="L645" s="203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4"/>
      <c r="AI645" s="174"/>
      <c r="AJ645" s="174"/>
      <c r="AK645" s="174"/>
    </row>
    <row r="646">
      <c r="A646" s="174"/>
      <c r="B646" s="178"/>
      <c r="C646" s="178"/>
      <c r="D646" s="178"/>
      <c r="E646" s="178"/>
      <c r="F646" s="178"/>
      <c r="G646" s="179"/>
      <c r="H646" s="189"/>
      <c r="I646" s="202"/>
      <c r="J646" s="201"/>
      <c r="K646" s="183"/>
      <c r="L646" s="203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4"/>
      <c r="AI646" s="174"/>
      <c r="AJ646" s="174"/>
      <c r="AK646" s="174"/>
    </row>
    <row r="647">
      <c r="A647" s="174"/>
      <c r="B647" s="178"/>
      <c r="C647" s="178"/>
      <c r="D647" s="178"/>
      <c r="E647" s="178"/>
      <c r="F647" s="178"/>
      <c r="G647" s="179"/>
      <c r="H647" s="189"/>
      <c r="I647" s="202"/>
      <c r="J647" s="201"/>
      <c r="K647" s="183"/>
      <c r="L647" s="203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4"/>
      <c r="AI647" s="174"/>
      <c r="AJ647" s="174"/>
      <c r="AK647" s="174"/>
    </row>
    <row r="648">
      <c r="A648" s="75"/>
      <c r="B648" s="29"/>
      <c r="C648" s="29"/>
      <c r="D648" s="29"/>
      <c r="E648" s="29"/>
      <c r="F648" s="29"/>
      <c r="G648" s="30"/>
      <c r="H648" s="57"/>
      <c r="I648" s="204"/>
      <c r="J648" s="205"/>
      <c r="K648" s="206"/>
      <c r="L648" s="207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75"/>
      <c r="AI648" s="75"/>
      <c r="AJ648" s="75"/>
      <c r="AK648" s="75"/>
    </row>
    <row r="649">
      <c r="A649" s="75"/>
      <c r="B649" s="29"/>
      <c r="C649" s="29"/>
      <c r="D649" s="29"/>
      <c r="E649" s="29"/>
      <c r="F649" s="29"/>
      <c r="G649" s="30"/>
      <c r="H649" s="57"/>
      <c r="I649" s="204"/>
      <c r="J649" s="205"/>
      <c r="K649" s="206"/>
      <c r="L649" s="207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75"/>
      <c r="AI649" s="75"/>
      <c r="AJ649" s="75"/>
      <c r="AK649" s="75"/>
    </row>
    <row r="650">
      <c r="A650" s="75"/>
      <c r="B650" s="29"/>
      <c r="C650" s="29"/>
      <c r="D650" s="29"/>
      <c r="E650" s="29"/>
      <c r="F650" s="29"/>
      <c r="G650" s="30"/>
      <c r="H650" s="57"/>
      <c r="I650" s="204"/>
      <c r="J650" s="205"/>
      <c r="K650" s="206"/>
      <c r="L650" s="207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75"/>
      <c r="AI650" s="75"/>
      <c r="AJ650" s="75"/>
      <c r="AK650" s="75"/>
    </row>
    <row r="651">
      <c r="A651" s="75"/>
      <c r="B651" s="29"/>
      <c r="C651" s="29"/>
      <c r="D651" s="29"/>
      <c r="E651" s="29"/>
      <c r="F651" s="29"/>
      <c r="G651" s="30"/>
      <c r="H651" s="57"/>
      <c r="I651" s="204"/>
      <c r="J651" s="205"/>
      <c r="K651" s="206"/>
      <c r="L651" s="207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75"/>
      <c r="AI651" s="75"/>
      <c r="AJ651" s="75"/>
      <c r="AK651" s="75"/>
    </row>
    <row r="652">
      <c r="A652" s="75"/>
      <c r="B652" s="29"/>
      <c r="C652" s="29"/>
      <c r="D652" s="29"/>
      <c r="E652" s="29"/>
      <c r="F652" s="29"/>
      <c r="G652" s="30"/>
      <c r="H652" s="57"/>
      <c r="I652" s="204"/>
      <c r="J652" s="205"/>
      <c r="K652" s="206"/>
      <c r="L652" s="207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75"/>
      <c r="AI652" s="75"/>
      <c r="AJ652" s="75"/>
      <c r="AK652" s="75"/>
    </row>
    <row r="653">
      <c r="A653" s="75"/>
      <c r="B653" s="29"/>
      <c r="C653" s="29"/>
      <c r="D653" s="29"/>
      <c r="E653" s="29"/>
      <c r="F653" s="29"/>
      <c r="G653" s="30"/>
      <c r="H653" s="57"/>
      <c r="I653" s="204"/>
      <c r="J653" s="205"/>
      <c r="K653" s="206"/>
      <c r="L653" s="207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75"/>
      <c r="AI653" s="75"/>
      <c r="AJ653" s="75"/>
      <c r="AK653" s="75"/>
    </row>
    <row r="654">
      <c r="A654" s="75"/>
      <c r="B654" s="29"/>
      <c r="C654" s="29"/>
      <c r="D654" s="29"/>
      <c r="E654" s="29"/>
      <c r="F654" s="29"/>
      <c r="G654" s="30"/>
      <c r="H654" s="57"/>
      <c r="I654" s="204"/>
      <c r="J654" s="205"/>
      <c r="K654" s="206"/>
      <c r="L654" s="207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75"/>
      <c r="AI654" s="75"/>
      <c r="AJ654" s="75"/>
      <c r="AK654" s="75"/>
    </row>
    <row r="655">
      <c r="A655" s="75"/>
      <c r="B655" s="29"/>
      <c r="C655" s="29"/>
      <c r="D655" s="29"/>
      <c r="E655" s="29"/>
      <c r="F655" s="29"/>
      <c r="G655" s="30"/>
      <c r="H655" s="57"/>
      <c r="I655" s="204"/>
      <c r="J655" s="205"/>
      <c r="K655" s="206"/>
      <c r="L655" s="207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75"/>
      <c r="AI655" s="75"/>
      <c r="AJ655" s="75"/>
      <c r="AK655" s="75"/>
    </row>
    <row r="656">
      <c r="A656" s="75"/>
      <c r="B656" s="29"/>
      <c r="C656" s="29"/>
      <c r="D656" s="29"/>
      <c r="E656" s="29"/>
      <c r="F656" s="29"/>
      <c r="G656" s="30"/>
      <c r="H656" s="57"/>
      <c r="I656" s="204"/>
      <c r="J656" s="205"/>
      <c r="K656" s="206"/>
      <c r="L656" s="207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75"/>
      <c r="AI656" s="75"/>
      <c r="AJ656" s="75"/>
      <c r="AK656" s="75"/>
    </row>
    <row r="657">
      <c r="A657" s="75"/>
      <c r="B657" s="29"/>
      <c r="C657" s="29"/>
      <c r="D657" s="29"/>
      <c r="E657" s="29"/>
      <c r="F657" s="29"/>
      <c r="G657" s="30"/>
      <c r="H657" s="57"/>
      <c r="I657" s="204"/>
      <c r="J657" s="205"/>
      <c r="K657" s="206"/>
      <c r="L657" s="207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75"/>
      <c r="AI657" s="75"/>
      <c r="AJ657" s="75"/>
      <c r="AK657" s="75"/>
    </row>
    <row r="658">
      <c r="A658" s="75"/>
      <c r="B658" s="29"/>
      <c r="C658" s="29"/>
      <c r="D658" s="29"/>
      <c r="E658" s="29"/>
      <c r="F658" s="29"/>
      <c r="G658" s="30"/>
      <c r="H658" s="57"/>
      <c r="I658" s="204"/>
      <c r="J658" s="205"/>
      <c r="K658" s="206"/>
      <c r="L658" s="207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75"/>
      <c r="AI658" s="75"/>
      <c r="AJ658" s="75"/>
      <c r="AK658" s="75"/>
    </row>
    <row r="659">
      <c r="A659" s="75"/>
      <c r="B659" s="29"/>
      <c r="C659" s="29"/>
      <c r="D659" s="29"/>
      <c r="E659" s="29"/>
      <c r="F659" s="29"/>
      <c r="G659" s="30"/>
      <c r="H659" s="57"/>
      <c r="I659" s="204"/>
      <c r="J659" s="205"/>
      <c r="K659" s="206"/>
      <c r="L659" s="207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75"/>
      <c r="AI659" s="75"/>
      <c r="AJ659" s="75"/>
      <c r="AK659" s="75"/>
    </row>
    <row r="660">
      <c r="A660" s="75"/>
      <c r="B660" s="29"/>
      <c r="C660" s="29"/>
      <c r="D660" s="29"/>
      <c r="E660" s="29"/>
      <c r="F660" s="29"/>
      <c r="G660" s="30"/>
      <c r="H660" s="57"/>
      <c r="I660" s="204"/>
      <c r="J660" s="205"/>
      <c r="K660" s="206"/>
      <c r="L660" s="207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75"/>
      <c r="AI660" s="75"/>
      <c r="AJ660" s="75"/>
      <c r="AK660" s="75"/>
    </row>
    <row r="661">
      <c r="A661" s="75"/>
      <c r="B661" s="29"/>
      <c r="C661" s="29"/>
      <c r="D661" s="29"/>
      <c r="E661" s="29"/>
      <c r="F661" s="29"/>
      <c r="G661" s="30"/>
      <c r="H661" s="57"/>
      <c r="I661" s="204"/>
      <c r="J661" s="205"/>
      <c r="K661" s="206"/>
      <c r="L661" s="207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75"/>
      <c r="AI661" s="75"/>
      <c r="AJ661" s="75"/>
      <c r="AK661" s="75"/>
    </row>
    <row r="662">
      <c r="A662" s="75"/>
      <c r="B662" s="29"/>
      <c r="C662" s="29"/>
      <c r="D662" s="29"/>
      <c r="E662" s="29"/>
      <c r="F662" s="29"/>
      <c r="G662" s="30"/>
      <c r="H662" s="57"/>
      <c r="I662" s="204"/>
      <c r="J662" s="205"/>
      <c r="K662" s="206"/>
      <c r="L662" s="207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75"/>
      <c r="AI662" s="75"/>
      <c r="AJ662" s="75"/>
      <c r="AK662" s="75"/>
    </row>
    <row r="663">
      <c r="A663" s="75"/>
      <c r="B663" s="29"/>
      <c r="C663" s="29"/>
      <c r="D663" s="29"/>
      <c r="E663" s="29"/>
      <c r="F663" s="29"/>
      <c r="G663" s="30"/>
      <c r="H663" s="57"/>
      <c r="I663" s="204"/>
      <c r="J663" s="205"/>
      <c r="K663" s="206"/>
      <c r="L663" s="207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75"/>
      <c r="AI663" s="75"/>
      <c r="AJ663" s="75"/>
      <c r="AK663" s="75"/>
    </row>
    <row r="664">
      <c r="A664" s="75"/>
      <c r="B664" s="29"/>
      <c r="C664" s="29"/>
      <c r="D664" s="29"/>
      <c r="E664" s="29"/>
      <c r="F664" s="29"/>
      <c r="G664" s="30"/>
      <c r="H664" s="57"/>
      <c r="I664" s="204"/>
      <c r="J664" s="205"/>
      <c r="K664" s="206"/>
      <c r="L664" s="207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75"/>
      <c r="AI664" s="75"/>
      <c r="AJ664" s="75"/>
      <c r="AK664" s="75"/>
    </row>
    <row r="665">
      <c r="A665" s="75"/>
      <c r="B665" s="29"/>
      <c r="C665" s="29"/>
      <c r="D665" s="29"/>
      <c r="E665" s="29"/>
      <c r="F665" s="29"/>
      <c r="G665" s="30"/>
      <c r="H665" s="57"/>
      <c r="I665" s="204"/>
      <c r="J665" s="205"/>
      <c r="K665" s="206"/>
      <c r="L665" s="207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75"/>
      <c r="AI665" s="75"/>
      <c r="AJ665" s="75"/>
      <c r="AK665" s="75"/>
    </row>
    <row r="666">
      <c r="A666" s="75"/>
      <c r="B666" s="29"/>
      <c r="C666" s="29"/>
      <c r="D666" s="29"/>
      <c r="E666" s="29"/>
      <c r="F666" s="29"/>
      <c r="G666" s="30"/>
      <c r="H666" s="57"/>
      <c r="I666" s="204"/>
      <c r="J666" s="205"/>
      <c r="K666" s="206"/>
      <c r="L666" s="207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75"/>
      <c r="AI666" s="75"/>
      <c r="AJ666" s="75"/>
      <c r="AK666" s="75"/>
    </row>
    <row r="667">
      <c r="A667" s="75"/>
      <c r="B667" s="29"/>
      <c r="C667" s="29"/>
      <c r="D667" s="29"/>
      <c r="E667" s="29"/>
      <c r="F667" s="29"/>
      <c r="G667" s="30"/>
      <c r="H667" s="57"/>
      <c r="I667" s="204"/>
      <c r="J667" s="205"/>
      <c r="K667" s="206"/>
      <c r="L667" s="207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75"/>
      <c r="AI667" s="75"/>
      <c r="AJ667" s="75"/>
      <c r="AK667" s="75"/>
    </row>
    <row r="668">
      <c r="A668" s="75"/>
      <c r="B668" s="29"/>
      <c r="C668" s="29"/>
      <c r="D668" s="29"/>
      <c r="E668" s="29"/>
      <c r="F668" s="29"/>
      <c r="G668" s="30"/>
      <c r="H668" s="57"/>
      <c r="I668" s="204"/>
      <c r="J668" s="205"/>
      <c r="K668" s="206"/>
      <c r="L668" s="207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75"/>
      <c r="AI668" s="75"/>
      <c r="AJ668" s="75"/>
      <c r="AK668" s="75"/>
    </row>
    <row r="669">
      <c r="A669" s="75"/>
      <c r="B669" s="29"/>
      <c r="C669" s="29"/>
      <c r="D669" s="29"/>
      <c r="E669" s="29"/>
      <c r="F669" s="29"/>
      <c r="G669" s="30"/>
      <c r="H669" s="57"/>
      <c r="I669" s="204"/>
      <c r="J669" s="205"/>
      <c r="K669" s="206"/>
      <c r="L669" s="207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75"/>
      <c r="AI669" s="75"/>
      <c r="AJ669" s="75"/>
      <c r="AK669" s="75"/>
    </row>
    <row r="670">
      <c r="A670" s="75"/>
      <c r="B670" s="29"/>
      <c r="C670" s="29"/>
      <c r="D670" s="29"/>
      <c r="E670" s="29"/>
      <c r="F670" s="29"/>
      <c r="G670" s="30"/>
      <c r="H670" s="57"/>
      <c r="I670" s="204"/>
      <c r="J670" s="205"/>
      <c r="K670" s="206"/>
      <c r="L670" s="207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75"/>
      <c r="AI670" s="75"/>
      <c r="AJ670" s="75"/>
      <c r="AK670" s="75"/>
    </row>
    <row r="671">
      <c r="A671" s="75"/>
      <c r="B671" s="29"/>
      <c r="C671" s="29"/>
      <c r="D671" s="29"/>
      <c r="E671" s="29"/>
      <c r="F671" s="29"/>
      <c r="G671" s="30"/>
      <c r="H671" s="57"/>
      <c r="I671" s="204"/>
      <c r="J671" s="205"/>
      <c r="K671" s="206"/>
      <c r="L671" s="207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75"/>
      <c r="AI671" s="75"/>
      <c r="AJ671" s="75"/>
      <c r="AK671" s="75"/>
    </row>
    <row r="672">
      <c r="A672" s="75"/>
      <c r="B672" s="29"/>
      <c r="C672" s="29"/>
      <c r="D672" s="29"/>
      <c r="E672" s="29"/>
      <c r="F672" s="29"/>
      <c r="G672" s="30"/>
      <c r="H672" s="57"/>
      <c r="I672" s="204"/>
      <c r="J672" s="205"/>
      <c r="K672" s="206"/>
      <c r="L672" s="207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75"/>
      <c r="AI672" s="75"/>
      <c r="AJ672" s="75"/>
      <c r="AK672" s="75"/>
    </row>
    <row r="673">
      <c r="A673" s="75"/>
      <c r="B673" s="29"/>
      <c r="C673" s="29"/>
      <c r="D673" s="29"/>
      <c r="E673" s="29"/>
      <c r="F673" s="29"/>
      <c r="G673" s="30"/>
      <c r="H673" s="57"/>
      <c r="I673" s="204"/>
      <c r="J673" s="205"/>
      <c r="K673" s="206"/>
      <c r="L673" s="207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75"/>
      <c r="AI673" s="75"/>
      <c r="AJ673" s="75"/>
      <c r="AK673" s="75"/>
    </row>
    <row r="674">
      <c r="A674" s="75"/>
      <c r="B674" s="29"/>
      <c r="C674" s="29"/>
      <c r="D674" s="29"/>
      <c r="E674" s="29"/>
      <c r="F674" s="29"/>
      <c r="G674" s="30"/>
      <c r="H674" s="57"/>
      <c r="I674" s="204"/>
      <c r="J674" s="205"/>
      <c r="K674" s="206"/>
      <c r="L674" s="207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75"/>
      <c r="AI674" s="75"/>
      <c r="AJ674" s="75"/>
      <c r="AK674" s="75"/>
    </row>
    <row r="675">
      <c r="A675" s="75"/>
      <c r="B675" s="29"/>
      <c r="C675" s="29"/>
      <c r="D675" s="29"/>
      <c r="E675" s="29"/>
      <c r="F675" s="29"/>
      <c r="G675" s="30"/>
      <c r="H675" s="57"/>
      <c r="I675" s="204"/>
      <c r="J675" s="205"/>
      <c r="K675" s="206"/>
      <c r="L675" s="207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75"/>
      <c r="AI675" s="75"/>
      <c r="AJ675" s="75"/>
      <c r="AK675" s="75"/>
    </row>
    <row r="676">
      <c r="A676" s="75"/>
      <c r="B676" s="29"/>
      <c r="C676" s="29"/>
      <c r="D676" s="29"/>
      <c r="E676" s="29"/>
      <c r="F676" s="29"/>
      <c r="G676" s="30"/>
      <c r="H676" s="57"/>
      <c r="I676" s="204"/>
      <c r="J676" s="205"/>
      <c r="K676" s="206"/>
      <c r="L676" s="207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75"/>
      <c r="AI676" s="75"/>
      <c r="AJ676" s="75"/>
      <c r="AK676" s="75"/>
    </row>
    <row r="677">
      <c r="A677" s="75"/>
      <c r="B677" s="29"/>
      <c r="C677" s="29"/>
      <c r="D677" s="29"/>
      <c r="E677" s="29"/>
      <c r="F677" s="29"/>
      <c r="G677" s="30"/>
      <c r="H677" s="57"/>
      <c r="I677" s="204"/>
      <c r="J677" s="205"/>
      <c r="K677" s="206"/>
      <c r="L677" s="207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75"/>
      <c r="AI677" s="75"/>
      <c r="AJ677" s="75"/>
      <c r="AK677" s="75"/>
    </row>
    <row r="678">
      <c r="A678" s="75"/>
      <c r="B678" s="29"/>
      <c r="C678" s="29"/>
      <c r="D678" s="29"/>
      <c r="E678" s="29"/>
      <c r="F678" s="29"/>
      <c r="G678" s="30"/>
      <c r="H678" s="57"/>
      <c r="I678" s="204"/>
      <c r="J678" s="205"/>
      <c r="K678" s="206"/>
      <c r="L678" s="207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75"/>
      <c r="AI678" s="75"/>
      <c r="AJ678" s="75"/>
      <c r="AK678" s="75"/>
    </row>
    <row r="679">
      <c r="A679" s="75"/>
      <c r="B679" s="29"/>
      <c r="C679" s="29"/>
      <c r="D679" s="29"/>
      <c r="E679" s="29"/>
      <c r="F679" s="29"/>
      <c r="G679" s="30"/>
      <c r="H679" s="57"/>
      <c r="I679" s="204"/>
      <c r="J679" s="205"/>
      <c r="K679" s="206"/>
      <c r="L679" s="207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75"/>
      <c r="AI679" s="75"/>
      <c r="AJ679" s="75"/>
      <c r="AK679" s="75"/>
    </row>
    <row r="680">
      <c r="A680" s="75"/>
      <c r="B680" s="29"/>
      <c r="C680" s="29"/>
      <c r="D680" s="29"/>
      <c r="E680" s="29"/>
      <c r="F680" s="29"/>
      <c r="G680" s="30"/>
      <c r="H680" s="57"/>
      <c r="I680" s="204"/>
      <c r="J680" s="205"/>
      <c r="K680" s="206"/>
      <c r="L680" s="207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75"/>
      <c r="AI680" s="75"/>
      <c r="AJ680" s="75"/>
      <c r="AK680" s="75"/>
    </row>
    <row r="681">
      <c r="A681" s="75"/>
      <c r="B681" s="29"/>
      <c r="C681" s="29"/>
      <c r="D681" s="29"/>
      <c r="E681" s="29"/>
      <c r="F681" s="29"/>
      <c r="G681" s="30"/>
      <c r="H681" s="57"/>
      <c r="I681" s="204"/>
      <c r="J681" s="205"/>
      <c r="K681" s="206"/>
      <c r="L681" s="207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75"/>
      <c r="AI681" s="75"/>
      <c r="AJ681" s="75"/>
      <c r="AK681" s="75"/>
    </row>
    <row r="682">
      <c r="A682" s="75"/>
      <c r="B682" s="29"/>
      <c r="C682" s="29"/>
      <c r="D682" s="29"/>
      <c r="E682" s="29"/>
      <c r="F682" s="29"/>
      <c r="G682" s="30"/>
      <c r="H682" s="57"/>
      <c r="I682" s="204"/>
      <c r="J682" s="205"/>
      <c r="K682" s="206"/>
      <c r="L682" s="207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75"/>
      <c r="AI682" s="75"/>
      <c r="AJ682" s="75"/>
      <c r="AK682" s="75"/>
    </row>
    <row r="683">
      <c r="A683" s="75"/>
      <c r="B683" s="29"/>
      <c r="C683" s="29"/>
      <c r="D683" s="29"/>
      <c r="E683" s="29"/>
      <c r="F683" s="29"/>
      <c r="G683" s="30"/>
      <c r="H683" s="57"/>
      <c r="I683" s="204"/>
      <c r="J683" s="205"/>
      <c r="K683" s="206"/>
      <c r="L683" s="207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75"/>
      <c r="AI683" s="75"/>
      <c r="AJ683" s="75"/>
      <c r="AK683" s="75"/>
    </row>
    <row r="684">
      <c r="A684" s="75"/>
      <c r="B684" s="29"/>
      <c r="C684" s="29"/>
      <c r="D684" s="29"/>
      <c r="E684" s="29"/>
      <c r="F684" s="29"/>
      <c r="G684" s="30"/>
      <c r="H684" s="57"/>
      <c r="I684" s="204"/>
      <c r="J684" s="205"/>
      <c r="K684" s="206"/>
      <c r="L684" s="207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75"/>
      <c r="AI684" s="75"/>
      <c r="AJ684" s="75"/>
      <c r="AK684" s="75"/>
    </row>
    <row r="685">
      <c r="A685" s="75"/>
      <c r="B685" s="29"/>
      <c r="C685" s="29"/>
      <c r="D685" s="29"/>
      <c r="E685" s="29"/>
      <c r="F685" s="29"/>
      <c r="G685" s="30"/>
      <c r="H685" s="57"/>
      <c r="I685" s="204"/>
      <c r="J685" s="205"/>
      <c r="K685" s="206"/>
      <c r="L685" s="207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75"/>
      <c r="AI685" s="75"/>
      <c r="AJ685" s="75"/>
      <c r="AK685" s="75"/>
    </row>
    <row r="686">
      <c r="A686" s="75"/>
      <c r="B686" s="75"/>
      <c r="C686" s="75"/>
      <c r="D686" s="75"/>
      <c r="E686" s="75"/>
      <c r="F686" s="75"/>
      <c r="G686" s="208"/>
      <c r="H686" s="209"/>
      <c r="I686" s="210"/>
      <c r="J686" s="211"/>
      <c r="K686" s="212"/>
      <c r="L686" s="213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</row>
    <row r="687">
      <c r="A687" s="75"/>
      <c r="B687" s="75"/>
      <c r="C687" s="75"/>
      <c r="D687" s="75"/>
      <c r="E687" s="75"/>
      <c r="F687" s="75"/>
      <c r="G687" s="208"/>
      <c r="H687" s="209"/>
      <c r="I687" s="210"/>
      <c r="J687" s="211"/>
      <c r="K687" s="212"/>
      <c r="L687" s="213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</row>
    <row r="688">
      <c r="A688" s="75"/>
      <c r="B688" s="75"/>
      <c r="C688" s="75"/>
      <c r="D688" s="75"/>
      <c r="E688" s="75"/>
      <c r="F688" s="75"/>
      <c r="G688" s="208"/>
      <c r="H688" s="209"/>
      <c r="I688" s="210"/>
      <c r="J688" s="211"/>
      <c r="K688" s="212"/>
      <c r="L688" s="213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</row>
    <row r="689">
      <c r="A689" s="75"/>
      <c r="B689" s="75"/>
      <c r="C689" s="75"/>
      <c r="D689" s="75"/>
      <c r="E689" s="75"/>
      <c r="F689" s="75"/>
      <c r="G689" s="208"/>
      <c r="H689" s="209"/>
      <c r="I689" s="210"/>
      <c r="J689" s="211"/>
      <c r="K689" s="212"/>
      <c r="L689" s="213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</row>
    <row r="690">
      <c r="A690" s="75"/>
      <c r="B690" s="75"/>
      <c r="C690" s="75"/>
      <c r="D690" s="75"/>
      <c r="E690" s="75"/>
      <c r="F690" s="75"/>
      <c r="G690" s="208"/>
      <c r="H690" s="209"/>
      <c r="I690" s="210"/>
      <c r="J690" s="211"/>
      <c r="K690" s="212"/>
      <c r="L690" s="213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</row>
    <row r="691">
      <c r="A691" s="75"/>
      <c r="B691" s="75"/>
      <c r="C691" s="75"/>
      <c r="D691" s="75"/>
      <c r="E691" s="75"/>
      <c r="F691" s="75"/>
      <c r="G691" s="208"/>
      <c r="H691" s="209"/>
      <c r="I691" s="210"/>
      <c r="J691" s="211"/>
      <c r="K691" s="212"/>
      <c r="L691" s="213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</row>
    <row r="692">
      <c r="A692" s="75"/>
      <c r="B692" s="75"/>
      <c r="C692" s="75"/>
      <c r="D692" s="75"/>
      <c r="E692" s="75"/>
      <c r="F692" s="75"/>
      <c r="G692" s="208"/>
      <c r="H692" s="209"/>
      <c r="I692" s="210"/>
      <c r="J692" s="211"/>
      <c r="K692" s="212"/>
      <c r="L692" s="213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</row>
    <row r="693">
      <c r="A693" s="75"/>
      <c r="B693" s="75"/>
      <c r="C693" s="75"/>
      <c r="D693" s="75"/>
      <c r="E693" s="75"/>
      <c r="F693" s="75"/>
      <c r="G693" s="208"/>
      <c r="H693" s="209"/>
      <c r="I693" s="210"/>
      <c r="J693" s="211"/>
      <c r="K693" s="212"/>
      <c r="L693" s="213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</row>
    <row r="694">
      <c r="A694" s="75"/>
      <c r="B694" s="75"/>
      <c r="C694" s="75"/>
      <c r="D694" s="75"/>
      <c r="E694" s="75"/>
      <c r="F694" s="75"/>
      <c r="G694" s="208"/>
      <c r="H694" s="209"/>
      <c r="I694" s="210"/>
      <c r="J694" s="211"/>
      <c r="K694" s="212"/>
      <c r="L694" s="213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</row>
    <row r="695">
      <c r="A695" s="75"/>
      <c r="B695" s="75"/>
      <c r="C695" s="75"/>
      <c r="D695" s="75"/>
      <c r="E695" s="75"/>
      <c r="F695" s="75"/>
      <c r="G695" s="208"/>
      <c r="H695" s="209"/>
      <c r="I695" s="210"/>
      <c r="J695" s="211"/>
      <c r="K695" s="212"/>
      <c r="L695" s="213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</row>
    <row r="696">
      <c r="A696" s="75"/>
      <c r="B696" s="75"/>
      <c r="C696" s="75"/>
      <c r="D696" s="75"/>
      <c r="E696" s="75"/>
      <c r="F696" s="75"/>
      <c r="G696" s="208"/>
      <c r="H696" s="209"/>
      <c r="I696" s="210"/>
      <c r="J696" s="211"/>
      <c r="K696" s="212"/>
      <c r="L696" s="213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</row>
    <row r="697">
      <c r="A697" s="75"/>
      <c r="B697" s="75"/>
      <c r="C697" s="75"/>
      <c r="D697" s="75"/>
      <c r="E697" s="75"/>
      <c r="F697" s="75"/>
      <c r="G697" s="208"/>
      <c r="H697" s="209"/>
      <c r="I697" s="210"/>
      <c r="J697" s="211"/>
      <c r="K697" s="212"/>
      <c r="L697" s="213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</row>
    <row r="698">
      <c r="A698" s="75"/>
      <c r="B698" s="75"/>
      <c r="C698" s="75"/>
      <c r="D698" s="75"/>
      <c r="E698" s="75"/>
      <c r="F698" s="75"/>
      <c r="G698" s="208"/>
      <c r="H698" s="209"/>
      <c r="I698" s="210"/>
      <c r="J698" s="211"/>
      <c r="K698" s="212"/>
      <c r="L698" s="213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</row>
    <row r="699">
      <c r="A699" s="75"/>
      <c r="B699" s="75"/>
      <c r="C699" s="75"/>
      <c r="D699" s="75"/>
      <c r="E699" s="75"/>
      <c r="F699" s="75"/>
      <c r="G699" s="208"/>
      <c r="H699" s="209"/>
      <c r="I699" s="210"/>
      <c r="J699" s="211"/>
      <c r="K699" s="212"/>
      <c r="L699" s="213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</row>
    <row r="700">
      <c r="A700" s="75"/>
      <c r="B700" s="75"/>
      <c r="C700" s="75"/>
      <c r="D700" s="75"/>
      <c r="E700" s="75"/>
      <c r="F700" s="75"/>
      <c r="G700" s="208"/>
      <c r="H700" s="209"/>
      <c r="I700" s="210"/>
      <c r="J700" s="211"/>
      <c r="K700" s="212"/>
      <c r="L700" s="213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</row>
    <row r="701">
      <c r="A701" s="75"/>
      <c r="B701" s="75"/>
      <c r="C701" s="75"/>
      <c r="D701" s="75"/>
      <c r="E701" s="75"/>
      <c r="F701" s="75"/>
      <c r="G701" s="208"/>
      <c r="H701" s="209"/>
      <c r="I701" s="210"/>
      <c r="J701" s="211"/>
      <c r="K701" s="212"/>
      <c r="L701" s="213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</row>
    <row r="702">
      <c r="A702" s="75"/>
      <c r="B702" s="75"/>
      <c r="C702" s="75"/>
      <c r="D702" s="75"/>
      <c r="E702" s="75"/>
      <c r="F702" s="75"/>
      <c r="G702" s="208"/>
      <c r="H702" s="209"/>
      <c r="I702" s="210"/>
      <c r="J702" s="211"/>
      <c r="K702" s="212"/>
      <c r="L702" s="213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</row>
    <row r="703">
      <c r="A703" s="75"/>
      <c r="B703" s="75"/>
      <c r="C703" s="75"/>
      <c r="D703" s="75"/>
      <c r="E703" s="75"/>
      <c r="F703" s="75"/>
      <c r="G703" s="208"/>
      <c r="H703" s="209"/>
      <c r="I703" s="210"/>
      <c r="J703" s="211"/>
      <c r="K703" s="212"/>
      <c r="L703" s="213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</row>
    <row r="704">
      <c r="A704" s="75"/>
      <c r="B704" s="75"/>
      <c r="C704" s="75"/>
      <c r="D704" s="75"/>
      <c r="E704" s="75"/>
      <c r="F704" s="75"/>
      <c r="G704" s="208"/>
      <c r="H704" s="209"/>
      <c r="I704" s="210"/>
      <c r="J704" s="211"/>
      <c r="K704" s="212"/>
      <c r="L704" s="213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</row>
    <row r="705">
      <c r="A705" s="75"/>
      <c r="B705" s="75"/>
      <c r="C705" s="75"/>
      <c r="D705" s="75"/>
      <c r="E705" s="75"/>
      <c r="F705" s="75"/>
      <c r="G705" s="208"/>
      <c r="H705" s="209"/>
      <c r="I705" s="210"/>
      <c r="J705" s="211"/>
      <c r="K705" s="212"/>
      <c r="L705" s="213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</row>
    <row r="706">
      <c r="A706" s="75"/>
      <c r="B706" s="75"/>
      <c r="C706" s="75"/>
      <c r="D706" s="75"/>
      <c r="E706" s="75"/>
      <c r="F706" s="75"/>
      <c r="G706" s="208"/>
      <c r="H706" s="209"/>
      <c r="I706" s="210"/>
      <c r="J706" s="211"/>
      <c r="K706" s="212"/>
      <c r="L706" s="213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</row>
    <row r="707">
      <c r="A707" s="75"/>
      <c r="B707" s="75"/>
      <c r="C707" s="75"/>
      <c r="D707" s="75"/>
      <c r="E707" s="75"/>
      <c r="F707" s="75"/>
      <c r="G707" s="208"/>
      <c r="H707" s="209"/>
      <c r="I707" s="210"/>
      <c r="J707" s="211"/>
      <c r="K707" s="212"/>
      <c r="L707" s="213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</row>
    <row r="708">
      <c r="A708" s="75"/>
      <c r="B708" s="75"/>
      <c r="C708" s="75"/>
      <c r="D708" s="75"/>
      <c r="E708" s="75"/>
      <c r="F708" s="75"/>
      <c r="G708" s="208"/>
      <c r="H708" s="209"/>
      <c r="I708" s="210"/>
      <c r="J708" s="211"/>
      <c r="K708" s="212"/>
      <c r="L708" s="213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</row>
    <row r="709">
      <c r="A709" s="75"/>
      <c r="B709" s="75"/>
      <c r="C709" s="75"/>
      <c r="D709" s="75"/>
      <c r="E709" s="75"/>
      <c r="F709" s="75"/>
      <c r="G709" s="208"/>
      <c r="H709" s="209"/>
      <c r="I709" s="210"/>
      <c r="J709" s="211"/>
      <c r="K709" s="212"/>
      <c r="L709" s="213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</row>
    <row r="710">
      <c r="A710" s="75"/>
      <c r="B710" s="75"/>
      <c r="C710" s="75"/>
      <c r="D710" s="75"/>
      <c r="E710" s="75"/>
      <c r="F710" s="75"/>
      <c r="G710" s="208"/>
      <c r="H710" s="209"/>
      <c r="I710" s="210"/>
      <c r="J710" s="211"/>
      <c r="K710" s="212"/>
      <c r="L710" s="213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</row>
    <row r="711">
      <c r="A711" s="75"/>
      <c r="B711" s="75"/>
      <c r="C711" s="75"/>
      <c r="D711" s="75"/>
      <c r="E711" s="75"/>
      <c r="F711" s="75"/>
      <c r="G711" s="208"/>
      <c r="H711" s="209"/>
      <c r="I711" s="210"/>
      <c r="J711" s="211"/>
      <c r="K711" s="212"/>
      <c r="L711" s="213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</row>
    <row r="712">
      <c r="A712" s="75"/>
      <c r="B712" s="75"/>
      <c r="C712" s="75"/>
      <c r="D712" s="75"/>
      <c r="E712" s="75"/>
      <c r="F712" s="75"/>
      <c r="G712" s="208"/>
      <c r="H712" s="209"/>
      <c r="I712" s="210"/>
      <c r="J712" s="211"/>
      <c r="K712" s="212"/>
      <c r="L712" s="213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</row>
    <row r="713">
      <c r="A713" s="75"/>
      <c r="B713" s="75"/>
      <c r="C713" s="75"/>
      <c r="D713" s="75"/>
      <c r="E713" s="75"/>
      <c r="F713" s="75"/>
      <c r="G713" s="208"/>
      <c r="H713" s="209"/>
      <c r="I713" s="210"/>
      <c r="J713" s="211"/>
      <c r="K713" s="212"/>
      <c r="L713" s="213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</row>
    <row r="714">
      <c r="A714" s="75"/>
      <c r="B714" s="75"/>
      <c r="C714" s="75"/>
      <c r="D714" s="75"/>
      <c r="E714" s="75"/>
      <c r="F714" s="75"/>
      <c r="G714" s="208"/>
      <c r="H714" s="209"/>
      <c r="I714" s="210"/>
      <c r="J714" s="211"/>
      <c r="K714" s="212"/>
      <c r="L714" s="213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</row>
    <row r="715">
      <c r="A715" s="75"/>
      <c r="B715" s="75"/>
      <c r="C715" s="75"/>
      <c r="D715" s="75"/>
      <c r="E715" s="75"/>
      <c r="F715" s="75"/>
      <c r="G715" s="208"/>
      <c r="H715" s="209"/>
      <c r="I715" s="210"/>
      <c r="J715" s="211"/>
      <c r="K715" s="212"/>
      <c r="L715" s="213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</row>
    <row r="716">
      <c r="A716" s="75"/>
      <c r="B716" s="75"/>
      <c r="C716" s="75"/>
      <c r="D716" s="75"/>
      <c r="E716" s="75"/>
      <c r="F716" s="75"/>
      <c r="G716" s="208"/>
      <c r="H716" s="209"/>
      <c r="I716" s="210"/>
      <c r="J716" s="211"/>
      <c r="K716" s="212"/>
      <c r="L716" s="213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</row>
    <row r="717">
      <c r="A717" s="75"/>
      <c r="B717" s="75"/>
      <c r="C717" s="75"/>
      <c r="D717" s="75"/>
      <c r="E717" s="75"/>
      <c r="F717" s="75"/>
      <c r="G717" s="208"/>
      <c r="H717" s="209"/>
      <c r="I717" s="210"/>
      <c r="J717" s="211"/>
      <c r="K717" s="212"/>
      <c r="L717" s="213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</row>
    <row r="718">
      <c r="A718" s="75"/>
      <c r="B718" s="75"/>
      <c r="C718" s="75"/>
      <c r="D718" s="75"/>
      <c r="E718" s="75"/>
      <c r="F718" s="75"/>
      <c r="G718" s="208"/>
      <c r="H718" s="209"/>
      <c r="I718" s="210"/>
      <c r="J718" s="211"/>
      <c r="K718" s="212"/>
      <c r="L718" s="213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</row>
    <row r="719">
      <c r="A719" s="75"/>
      <c r="B719" s="75"/>
      <c r="C719" s="75"/>
      <c r="D719" s="75"/>
      <c r="E719" s="75"/>
      <c r="F719" s="75"/>
      <c r="G719" s="208"/>
      <c r="H719" s="209"/>
      <c r="I719" s="210"/>
      <c r="J719" s="211"/>
      <c r="K719" s="212"/>
      <c r="L719" s="213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</row>
    <row r="720">
      <c r="A720" s="75"/>
      <c r="B720" s="75"/>
      <c r="C720" s="75"/>
      <c r="D720" s="75"/>
      <c r="E720" s="75"/>
      <c r="F720" s="75"/>
      <c r="G720" s="208"/>
      <c r="H720" s="209"/>
      <c r="I720" s="210"/>
      <c r="J720" s="211"/>
      <c r="K720" s="212"/>
      <c r="L720" s="213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</row>
    <row r="721">
      <c r="A721" s="75"/>
      <c r="B721" s="75"/>
      <c r="C721" s="75"/>
      <c r="D721" s="75"/>
      <c r="E721" s="75"/>
      <c r="F721" s="75"/>
      <c r="G721" s="208"/>
      <c r="H721" s="209"/>
      <c r="I721" s="210"/>
      <c r="J721" s="211"/>
      <c r="K721" s="212"/>
      <c r="L721" s="213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</row>
    <row r="722">
      <c r="A722" s="75"/>
      <c r="B722" s="75"/>
      <c r="C722" s="75"/>
      <c r="D722" s="75"/>
      <c r="E722" s="75"/>
      <c r="F722" s="75"/>
      <c r="G722" s="208"/>
      <c r="H722" s="209"/>
      <c r="I722" s="210"/>
      <c r="J722" s="211"/>
      <c r="K722" s="212"/>
      <c r="L722" s="213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</row>
    <row r="723">
      <c r="A723" s="75"/>
      <c r="B723" s="75"/>
      <c r="C723" s="75"/>
      <c r="D723" s="75"/>
      <c r="E723" s="75"/>
      <c r="F723" s="75"/>
      <c r="G723" s="208"/>
      <c r="H723" s="209"/>
      <c r="I723" s="210"/>
      <c r="J723" s="211"/>
      <c r="K723" s="212"/>
      <c r="L723" s="213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</row>
    <row r="724">
      <c r="A724" s="75"/>
      <c r="B724" s="75"/>
      <c r="C724" s="75"/>
      <c r="D724" s="75"/>
      <c r="E724" s="75"/>
      <c r="F724" s="75"/>
      <c r="G724" s="208"/>
      <c r="H724" s="209"/>
      <c r="I724" s="210"/>
      <c r="J724" s="211"/>
      <c r="K724" s="212"/>
      <c r="L724" s="213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</row>
    <row r="725">
      <c r="A725" s="75"/>
      <c r="B725" s="75"/>
      <c r="C725" s="75"/>
      <c r="D725" s="75"/>
      <c r="E725" s="75"/>
      <c r="F725" s="75"/>
      <c r="G725" s="208"/>
      <c r="H725" s="209"/>
      <c r="I725" s="210"/>
      <c r="J725" s="211"/>
      <c r="K725" s="212"/>
      <c r="L725" s="213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</row>
    <row r="726">
      <c r="A726" s="75"/>
      <c r="B726" s="75"/>
      <c r="C726" s="75"/>
      <c r="D726" s="75"/>
      <c r="E726" s="75"/>
      <c r="F726" s="75"/>
      <c r="G726" s="208"/>
      <c r="H726" s="209"/>
      <c r="I726" s="210"/>
      <c r="J726" s="211"/>
      <c r="K726" s="212"/>
      <c r="L726" s="213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</row>
    <row r="727">
      <c r="A727" s="75"/>
      <c r="B727" s="75"/>
      <c r="C727" s="75"/>
      <c r="D727" s="75"/>
      <c r="E727" s="75"/>
      <c r="F727" s="75"/>
      <c r="G727" s="208"/>
      <c r="H727" s="209"/>
      <c r="I727" s="210"/>
      <c r="J727" s="211"/>
      <c r="K727" s="212"/>
      <c r="L727" s="213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</row>
    <row r="728">
      <c r="A728" s="75"/>
      <c r="B728" s="75"/>
      <c r="C728" s="75"/>
      <c r="D728" s="75"/>
      <c r="E728" s="75"/>
      <c r="F728" s="75"/>
      <c r="G728" s="208"/>
      <c r="H728" s="209"/>
      <c r="I728" s="210"/>
      <c r="J728" s="211"/>
      <c r="K728" s="212"/>
      <c r="L728" s="213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</row>
    <row r="729">
      <c r="A729" s="75"/>
      <c r="B729" s="75"/>
      <c r="C729" s="75"/>
      <c r="D729" s="75"/>
      <c r="E729" s="75"/>
      <c r="F729" s="75"/>
      <c r="G729" s="208"/>
      <c r="H729" s="209"/>
      <c r="I729" s="210"/>
      <c r="J729" s="211"/>
      <c r="K729" s="212"/>
      <c r="L729" s="213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</row>
    <row r="730">
      <c r="A730" s="75"/>
      <c r="B730" s="75"/>
      <c r="C730" s="75"/>
      <c r="D730" s="75"/>
      <c r="E730" s="75"/>
      <c r="F730" s="75"/>
      <c r="G730" s="208"/>
      <c r="H730" s="209"/>
      <c r="I730" s="210"/>
      <c r="J730" s="211"/>
      <c r="K730" s="212"/>
      <c r="L730" s="213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</row>
    <row r="731">
      <c r="A731" s="75"/>
      <c r="B731" s="75"/>
      <c r="C731" s="75"/>
      <c r="D731" s="75"/>
      <c r="E731" s="75"/>
      <c r="F731" s="75"/>
      <c r="G731" s="208"/>
      <c r="H731" s="209"/>
      <c r="I731" s="210"/>
      <c r="J731" s="211"/>
      <c r="K731" s="212"/>
      <c r="L731" s="213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</row>
    <row r="732">
      <c r="A732" s="75"/>
      <c r="B732" s="75"/>
      <c r="C732" s="75"/>
      <c r="D732" s="75"/>
      <c r="E732" s="75"/>
      <c r="F732" s="75"/>
      <c r="G732" s="208"/>
      <c r="H732" s="209"/>
      <c r="I732" s="210"/>
      <c r="J732" s="211"/>
      <c r="K732" s="212"/>
      <c r="L732" s="213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</row>
    <row r="733">
      <c r="A733" s="75"/>
      <c r="B733" s="75"/>
      <c r="C733" s="75"/>
      <c r="D733" s="75"/>
      <c r="E733" s="75"/>
      <c r="F733" s="75"/>
      <c r="G733" s="208"/>
      <c r="H733" s="209"/>
      <c r="I733" s="210"/>
      <c r="J733" s="211"/>
      <c r="K733" s="212"/>
      <c r="L733" s="213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</row>
    <row r="734">
      <c r="A734" s="75"/>
      <c r="B734" s="75"/>
      <c r="C734" s="75"/>
      <c r="D734" s="75"/>
      <c r="E734" s="75"/>
      <c r="F734" s="75"/>
      <c r="G734" s="208"/>
      <c r="H734" s="209"/>
      <c r="I734" s="210"/>
      <c r="J734" s="211"/>
      <c r="K734" s="212"/>
      <c r="L734" s="213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</row>
    <row r="735">
      <c r="A735" s="75"/>
      <c r="B735" s="75"/>
      <c r="C735" s="75"/>
      <c r="D735" s="75"/>
      <c r="E735" s="75"/>
      <c r="F735" s="75"/>
      <c r="G735" s="208"/>
      <c r="H735" s="209"/>
      <c r="I735" s="210"/>
      <c r="J735" s="211"/>
      <c r="K735" s="212"/>
      <c r="L735" s="213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</row>
    <row r="736">
      <c r="A736" s="75"/>
      <c r="B736" s="75"/>
      <c r="C736" s="75"/>
      <c r="D736" s="75"/>
      <c r="E736" s="75"/>
      <c r="F736" s="75"/>
      <c r="G736" s="208"/>
      <c r="H736" s="209"/>
      <c r="I736" s="210"/>
      <c r="J736" s="211"/>
      <c r="K736" s="212"/>
      <c r="L736" s="213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</row>
    <row r="737">
      <c r="A737" s="75"/>
      <c r="B737" s="75"/>
      <c r="C737" s="75"/>
      <c r="D737" s="75"/>
      <c r="E737" s="75"/>
      <c r="F737" s="75"/>
      <c r="G737" s="208"/>
      <c r="H737" s="209"/>
      <c r="I737" s="210"/>
      <c r="J737" s="211"/>
      <c r="K737" s="212"/>
      <c r="L737" s="213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</row>
    <row r="738">
      <c r="A738" s="75"/>
      <c r="B738" s="75"/>
      <c r="C738" s="75"/>
      <c r="D738" s="75"/>
      <c r="E738" s="75"/>
      <c r="F738" s="75"/>
      <c r="G738" s="208"/>
      <c r="H738" s="209"/>
      <c r="I738" s="210"/>
      <c r="J738" s="211"/>
      <c r="K738" s="212"/>
      <c r="L738" s="213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</row>
    <row r="739">
      <c r="A739" s="75"/>
      <c r="B739" s="75"/>
      <c r="C739" s="75"/>
      <c r="D739" s="75"/>
      <c r="E739" s="75"/>
      <c r="F739" s="75"/>
      <c r="G739" s="208"/>
      <c r="H739" s="209"/>
      <c r="I739" s="210"/>
      <c r="J739" s="211"/>
      <c r="K739" s="212"/>
      <c r="L739" s="213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</row>
    <row r="740">
      <c r="A740" s="75"/>
      <c r="B740" s="75"/>
      <c r="C740" s="75"/>
      <c r="D740" s="75"/>
      <c r="E740" s="75"/>
      <c r="F740" s="75"/>
      <c r="G740" s="208"/>
      <c r="H740" s="209"/>
      <c r="I740" s="210"/>
      <c r="J740" s="211"/>
      <c r="K740" s="212"/>
      <c r="L740" s="213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</row>
    <row r="741">
      <c r="A741" s="75"/>
      <c r="B741" s="75"/>
      <c r="C741" s="75"/>
      <c r="D741" s="75"/>
      <c r="E741" s="75"/>
      <c r="F741" s="75"/>
      <c r="G741" s="208"/>
      <c r="H741" s="209"/>
      <c r="I741" s="210"/>
      <c r="J741" s="211"/>
      <c r="K741" s="212"/>
      <c r="L741" s="213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</row>
    <row r="742">
      <c r="A742" s="75"/>
      <c r="B742" s="75"/>
      <c r="C742" s="75"/>
      <c r="D742" s="75"/>
      <c r="E742" s="75"/>
      <c r="F742" s="75"/>
      <c r="G742" s="208"/>
      <c r="H742" s="209"/>
      <c r="I742" s="210"/>
      <c r="J742" s="211"/>
      <c r="K742" s="212"/>
      <c r="L742" s="213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</row>
    <row r="743">
      <c r="A743" s="75"/>
      <c r="B743" s="75"/>
      <c r="C743" s="75"/>
      <c r="D743" s="75"/>
      <c r="E743" s="75"/>
      <c r="F743" s="75"/>
      <c r="G743" s="208"/>
      <c r="H743" s="209"/>
      <c r="I743" s="210"/>
      <c r="J743" s="211"/>
      <c r="K743" s="212"/>
      <c r="L743" s="213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</row>
    <row r="744">
      <c r="A744" s="75"/>
      <c r="B744" s="75"/>
      <c r="C744" s="75"/>
      <c r="D744" s="75"/>
      <c r="E744" s="75"/>
      <c r="F744" s="75"/>
      <c r="G744" s="208"/>
      <c r="H744" s="209"/>
      <c r="I744" s="210"/>
      <c r="J744" s="211"/>
      <c r="K744" s="212"/>
      <c r="L744" s="213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</row>
    <row r="745">
      <c r="A745" s="75"/>
      <c r="B745" s="75"/>
      <c r="C745" s="75"/>
      <c r="D745" s="75"/>
      <c r="E745" s="75"/>
      <c r="F745" s="75"/>
      <c r="G745" s="208"/>
      <c r="H745" s="209"/>
      <c r="I745" s="210"/>
      <c r="J745" s="211"/>
      <c r="K745" s="212"/>
      <c r="L745" s="213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</row>
    <row r="746">
      <c r="A746" s="75"/>
      <c r="B746" s="75"/>
      <c r="C746" s="75"/>
      <c r="D746" s="75"/>
      <c r="E746" s="75"/>
      <c r="F746" s="75"/>
      <c r="G746" s="208"/>
      <c r="H746" s="209"/>
      <c r="I746" s="210"/>
      <c r="J746" s="211"/>
      <c r="K746" s="212"/>
      <c r="L746" s="213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</row>
    <row r="747">
      <c r="A747" s="75"/>
      <c r="B747" s="75"/>
      <c r="C747" s="75"/>
      <c r="D747" s="75"/>
      <c r="E747" s="75"/>
      <c r="F747" s="75"/>
      <c r="G747" s="208"/>
      <c r="H747" s="209"/>
      <c r="I747" s="210"/>
      <c r="J747" s="211"/>
      <c r="K747" s="212"/>
      <c r="L747" s="213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</row>
    <row r="748">
      <c r="A748" s="75"/>
      <c r="B748" s="75"/>
      <c r="C748" s="75"/>
      <c r="D748" s="75"/>
      <c r="E748" s="75"/>
      <c r="F748" s="75"/>
      <c r="G748" s="208"/>
      <c r="H748" s="209"/>
      <c r="I748" s="210"/>
      <c r="J748" s="211"/>
      <c r="K748" s="212"/>
      <c r="L748" s="213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</row>
    <row r="749">
      <c r="A749" s="75"/>
      <c r="B749" s="75"/>
      <c r="C749" s="75"/>
      <c r="D749" s="75"/>
      <c r="E749" s="75"/>
      <c r="F749" s="75"/>
      <c r="G749" s="208"/>
      <c r="H749" s="209"/>
      <c r="I749" s="210"/>
      <c r="J749" s="211"/>
      <c r="K749" s="212"/>
      <c r="L749" s="213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</row>
    <row r="750">
      <c r="A750" s="75"/>
      <c r="B750" s="75"/>
      <c r="C750" s="75"/>
      <c r="D750" s="75"/>
      <c r="E750" s="75"/>
      <c r="F750" s="75"/>
      <c r="G750" s="208"/>
      <c r="H750" s="209"/>
      <c r="I750" s="210"/>
      <c r="J750" s="211"/>
      <c r="K750" s="212"/>
      <c r="L750" s="213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</row>
    <row r="751">
      <c r="A751" s="75"/>
      <c r="B751" s="75"/>
      <c r="C751" s="75"/>
      <c r="D751" s="75"/>
      <c r="E751" s="75"/>
      <c r="F751" s="75"/>
      <c r="G751" s="208"/>
      <c r="H751" s="209"/>
      <c r="I751" s="210"/>
      <c r="J751" s="211"/>
      <c r="K751" s="212"/>
      <c r="L751" s="213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</row>
    <row r="752">
      <c r="A752" s="75"/>
      <c r="B752" s="75"/>
      <c r="C752" s="75"/>
      <c r="D752" s="75"/>
      <c r="E752" s="75"/>
      <c r="F752" s="75"/>
      <c r="G752" s="208"/>
      <c r="H752" s="209"/>
      <c r="I752" s="210"/>
      <c r="J752" s="211"/>
      <c r="K752" s="212"/>
      <c r="L752" s="213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</row>
    <row r="753">
      <c r="A753" s="75"/>
      <c r="B753" s="75"/>
      <c r="C753" s="75"/>
      <c r="D753" s="75"/>
      <c r="E753" s="75"/>
      <c r="F753" s="75"/>
      <c r="G753" s="208"/>
      <c r="H753" s="209"/>
      <c r="I753" s="210"/>
      <c r="J753" s="211"/>
      <c r="K753" s="212"/>
      <c r="L753" s="213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</row>
    <row r="754">
      <c r="A754" s="75"/>
      <c r="B754" s="75"/>
      <c r="C754" s="75"/>
      <c r="D754" s="75"/>
      <c r="E754" s="75"/>
      <c r="F754" s="75"/>
      <c r="G754" s="208"/>
      <c r="H754" s="209"/>
      <c r="I754" s="210"/>
      <c r="J754" s="211"/>
      <c r="K754" s="212"/>
      <c r="L754" s="213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</row>
    <row r="755">
      <c r="A755" s="75"/>
      <c r="B755" s="75"/>
      <c r="C755" s="75"/>
      <c r="D755" s="75"/>
      <c r="E755" s="75"/>
      <c r="F755" s="75"/>
      <c r="G755" s="208"/>
      <c r="H755" s="209"/>
      <c r="I755" s="210"/>
      <c r="J755" s="211"/>
      <c r="K755" s="212"/>
      <c r="L755" s="213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</row>
    <row r="756">
      <c r="A756" s="75"/>
      <c r="B756" s="75"/>
      <c r="C756" s="75"/>
      <c r="D756" s="75"/>
      <c r="E756" s="75"/>
      <c r="F756" s="75"/>
      <c r="G756" s="208"/>
      <c r="H756" s="209"/>
      <c r="I756" s="210"/>
      <c r="J756" s="211"/>
      <c r="K756" s="212"/>
      <c r="L756" s="213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</row>
    <row r="757">
      <c r="A757" s="75"/>
      <c r="B757" s="75"/>
      <c r="C757" s="75"/>
      <c r="D757" s="75"/>
      <c r="E757" s="75"/>
      <c r="F757" s="75"/>
      <c r="G757" s="208"/>
      <c r="H757" s="209"/>
      <c r="I757" s="210"/>
      <c r="J757" s="211"/>
      <c r="K757" s="212"/>
      <c r="L757" s="213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</row>
    <row r="758">
      <c r="A758" s="75"/>
      <c r="B758" s="75"/>
      <c r="C758" s="75"/>
      <c r="D758" s="75"/>
      <c r="E758" s="75"/>
      <c r="F758" s="75"/>
      <c r="G758" s="208"/>
      <c r="H758" s="209"/>
      <c r="I758" s="210"/>
      <c r="J758" s="211"/>
      <c r="K758" s="212"/>
      <c r="L758" s="213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</row>
    <row r="759">
      <c r="A759" s="75"/>
      <c r="B759" s="75"/>
      <c r="C759" s="75"/>
      <c r="D759" s="75"/>
      <c r="E759" s="75"/>
      <c r="F759" s="75"/>
      <c r="G759" s="208"/>
      <c r="H759" s="209"/>
      <c r="I759" s="210"/>
      <c r="J759" s="211"/>
      <c r="K759" s="212"/>
      <c r="L759" s="213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</row>
    <row r="760">
      <c r="A760" s="75"/>
      <c r="B760" s="75"/>
      <c r="C760" s="75"/>
      <c r="D760" s="75"/>
      <c r="E760" s="75"/>
      <c r="F760" s="75"/>
      <c r="G760" s="208"/>
      <c r="H760" s="209"/>
      <c r="I760" s="210"/>
      <c r="J760" s="211"/>
      <c r="K760" s="212"/>
      <c r="L760" s="213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</row>
    <row r="761">
      <c r="A761" s="75"/>
      <c r="B761" s="75"/>
      <c r="C761" s="75"/>
      <c r="D761" s="75"/>
      <c r="E761" s="75"/>
      <c r="F761" s="75"/>
      <c r="G761" s="208"/>
      <c r="H761" s="209"/>
      <c r="I761" s="210"/>
      <c r="J761" s="211"/>
      <c r="K761" s="212"/>
      <c r="L761" s="213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</row>
    <row r="762">
      <c r="A762" s="75"/>
      <c r="B762" s="75"/>
      <c r="C762" s="75"/>
      <c r="D762" s="75"/>
      <c r="E762" s="75"/>
      <c r="F762" s="75"/>
      <c r="G762" s="208"/>
      <c r="H762" s="209"/>
      <c r="I762" s="210"/>
      <c r="J762" s="211"/>
      <c r="K762" s="212"/>
      <c r="L762" s="213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</row>
    <row r="763">
      <c r="A763" s="75"/>
      <c r="B763" s="75"/>
      <c r="C763" s="75"/>
      <c r="D763" s="75"/>
      <c r="E763" s="75"/>
      <c r="F763" s="75"/>
      <c r="G763" s="208"/>
      <c r="H763" s="209"/>
      <c r="I763" s="210"/>
      <c r="J763" s="211"/>
      <c r="K763" s="212"/>
      <c r="L763" s="213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</row>
    <row r="764">
      <c r="A764" s="75"/>
      <c r="B764" s="75"/>
      <c r="C764" s="75"/>
      <c r="D764" s="75"/>
      <c r="E764" s="75"/>
      <c r="F764" s="75"/>
      <c r="G764" s="208"/>
      <c r="H764" s="209"/>
      <c r="I764" s="210"/>
      <c r="J764" s="211"/>
      <c r="K764" s="212"/>
      <c r="L764" s="213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</row>
    <row r="765">
      <c r="A765" s="75"/>
      <c r="B765" s="75"/>
      <c r="C765" s="75"/>
      <c r="D765" s="75"/>
      <c r="E765" s="75"/>
      <c r="F765" s="75"/>
      <c r="G765" s="208"/>
      <c r="H765" s="209"/>
      <c r="I765" s="210"/>
      <c r="J765" s="211"/>
      <c r="K765" s="212"/>
      <c r="L765" s="213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</row>
    <row r="766">
      <c r="A766" s="75"/>
      <c r="B766" s="75"/>
      <c r="C766" s="75"/>
      <c r="D766" s="75"/>
      <c r="E766" s="75"/>
      <c r="F766" s="75"/>
      <c r="G766" s="208"/>
      <c r="H766" s="209"/>
      <c r="I766" s="210"/>
      <c r="J766" s="211"/>
      <c r="K766" s="212"/>
      <c r="L766" s="213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</row>
    <row r="767">
      <c r="A767" s="75"/>
      <c r="B767" s="75"/>
      <c r="C767" s="75"/>
      <c r="D767" s="75"/>
      <c r="E767" s="75"/>
      <c r="F767" s="75"/>
      <c r="G767" s="208"/>
      <c r="H767" s="209"/>
      <c r="I767" s="210"/>
      <c r="J767" s="211"/>
      <c r="K767" s="212"/>
      <c r="L767" s="213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</row>
    <row r="768">
      <c r="A768" s="75"/>
      <c r="B768" s="75"/>
      <c r="C768" s="75"/>
      <c r="D768" s="75"/>
      <c r="E768" s="75"/>
      <c r="F768" s="75"/>
      <c r="G768" s="208"/>
      <c r="H768" s="209"/>
      <c r="I768" s="210"/>
      <c r="J768" s="211"/>
      <c r="K768" s="212"/>
      <c r="L768" s="213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</row>
    <row r="769">
      <c r="A769" s="75"/>
      <c r="B769" s="75"/>
      <c r="C769" s="75"/>
      <c r="D769" s="75"/>
      <c r="E769" s="75"/>
      <c r="F769" s="75"/>
      <c r="G769" s="208"/>
      <c r="H769" s="209"/>
      <c r="I769" s="210"/>
      <c r="J769" s="211"/>
      <c r="K769" s="212"/>
      <c r="L769" s="213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</row>
    <row r="770">
      <c r="A770" s="75"/>
      <c r="B770" s="75"/>
      <c r="C770" s="75"/>
      <c r="D770" s="75"/>
      <c r="E770" s="75"/>
      <c r="F770" s="75"/>
      <c r="G770" s="208"/>
      <c r="H770" s="209"/>
      <c r="I770" s="210"/>
      <c r="J770" s="211"/>
      <c r="K770" s="212"/>
      <c r="L770" s="213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</row>
    <row r="771">
      <c r="A771" s="75"/>
      <c r="B771" s="75"/>
      <c r="C771" s="75"/>
      <c r="D771" s="75"/>
      <c r="E771" s="75"/>
      <c r="F771" s="75"/>
      <c r="G771" s="208"/>
      <c r="H771" s="209"/>
      <c r="I771" s="210"/>
      <c r="J771" s="211"/>
      <c r="K771" s="212"/>
      <c r="L771" s="213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</row>
    <row r="772">
      <c r="A772" s="75"/>
      <c r="B772" s="75"/>
      <c r="C772" s="75"/>
      <c r="D772" s="75"/>
      <c r="E772" s="75"/>
      <c r="F772" s="75"/>
      <c r="G772" s="208"/>
      <c r="H772" s="209"/>
      <c r="I772" s="210"/>
      <c r="J772" s="211"/>
      <c r="K772" s="212"/>
      <c r="L772" s="213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</row>
    <row r="773">
      <c r="A773" s="75"/>
      <c r="B773" s="75"/>
      <c r="C773" s="75"/>
      <c r="D773" s="75"/>
      <c r="E773" s="75"/>
      <c r="F773" s="75"/>
      <c r="G773" s="208"/>
      <c r="H773" s="209"/>
      <c r="I773" s="210"/>
      <c r="J773" s="211"/>
      <c r="K773" s="212"/>
      <c r="L773" s="213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</row>
    <row r="774">
      <c r="A774" s="75"/>
      <c r="B774" s="75"/>
      <c r="C774" s="75"/>
      <c r="D774" s="75"/>
      <c r="E774" s="75"/>
      <c r="F774" s="75"/>
      <c r="G774" s="208"/>
      <c r="H774" s="209"/>
      <c r="I774" s="210"/>
      <c r="J774" s="211"/>
      <c r="K774" s="212"/>
      <c r="L774" s="213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</row>
    <row r="775">
      <c r="A775" s="75"/>
      <c r="B775" s="75"/>
      <c r="C775" s="75"/>
      <c r="D775" s="75"/>
      <c r="E775" s="75"/>
      <c r="F775" s="75"/>
      <c r="G775" s="208"/>
      <c r="H775" s="209"/>
      <c r="I775" s="210"/>
      <c r="J775" s="211"/>
      <c r="K775" s="212"/>
      <c r="L775" s="213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</row>
    <row r="776">
      <c r="A776" s="75"/>
      <c r="B776" s="75"/>
      <c r="C776" s="75"/>
      <c r="D776" s="75"/>
      <c r="E776" s="75"/>
      <c r="F776" s="75"/>
      <c r="G776" s="208"/>
      <c r="H776" s="209"/>
      <c r="I776" s="210"/>
      <c r="J776" s="211"/>
      <c r="K776" s="212"/>
      <c r="L776" s="213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</row>
    <row r="777">
      <c r="A777" s="75"/>
      <c r="B777" s="75"/>
      <c r="C777" s="75"/>
      <c r="D777" s="75"/>
      <c r="E777" s="75"/>
      <c r="F777" s="75"/>
      <c r="G777" s="208"/>
      <c r="H777" s="209"/>
      <c r="I777" s="210"/>
      <c r="J777" s="211"/>
      <c r="K777" s="212"/>
      <c r="L777" s="213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</row>
    <row r="778">
      <c r="A778" s="75"/>
      <c r="B778" s="75"/>
      <c r="C778" s="75"/>
      <c r="D778" s="75"/>
      <c r="E778" s="75"/>
      <c r="F778" s="75"/>
      <c r="G778" s="208"/>
      <c r="H778" s="209"/>
      <c r="I778" s="210"/>
      <c r="J778" s="211"/>
      <c r="K778" s="212"/>
      <c r="L778" s="213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</row>
    <row r="779">
      <c r="A779" s="75"/>
      <c r="B779" s="75"/>
      <c r="C779" s="75"/>
      <c r="D779" s="75"/>
      <c r="E779" s="75"/>
      <c r="F779" s="75"/>
      <c r="G779" s="208"/>
      <c r="H779" s="209"/>
      <c r="I779" s="210"/>
      <c r="J779" s="211"/>
      <c r="K779" s="212"/>
      <c r="L779" s="213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</row>
    <row r="780">
      <c r="A780" s="75"/>
      <c r="B780" s="75"/>
      <c r="C780" s="75"/>
      <c r="D780" s="75"/>
      <c r="E780" s="75"/>
      <c r="F780" s="75"/>
      <c r="G780" s="208"/>
      <c r="H780" s="209"/>
      <c r="I780" s="210"/>
      <c r="J780" s="211"/>
      <c r="K780" s="212"/>
      <c r="L780" s="213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</row>
    <row r="781">
      <c r="A781" s="75"/>
      <c r="B781" s="75"/>
      <c r="C781" s="75"/>
      <c r="D781" s="75"/>
      <c r="E781" s="75"/>
      <c r="F781" s="75"/>
      <c r="G781" s="208"/>
      <c r="H781" s="209"/>
      <c r="I781" s="210"/>
      <c r="J781" s="211"/>
      <c r="K781" s="212"/>
      <c r="L781" s="213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</row>
    <row r="782">
      <c r="A782" s="75"/>
      <c r="B782" s="75"/>
      <c r="C782" s="75"/>
      <c r="D782" s="75"/>
      <c r="E782" s="75"/>
      <c r="F782" s="75"/>
      <c r="G782" s="208"/>
      <c r="H782" s="209"/>
      <c r="I782" s="210"/>
      <c r="J782" s="211"/>
      <c r="K782" s="212"/>
      <c r="L782" s="213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</row>
    <row r="783">
      <c r="A783" s="75"/>
      <c r="B783" s="75"/>
      <c r="C783" s="75"/>
      <c r="D783" s="75"/>
      <c r="E783" s="75"/>
      <c r="F783" s="75"/>
      <c r="G783" s="208"/>
      <c r="H783" s="209"/>
      <c r="I783" s="210"/>
      <c r="J783" s="211"/>
      <c r="K783" s="212"/>
      <c r="L783" s="213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</row>
    <row r="784">
      <c r="A784" s="75"/>
      <c r="B784" s="75"/>
      <c r="C784" s="75"/>
      <c r="D784" s="75"/>
      <c r="E784" s="75"/>
      <c r="F784" s="75"/>
      <c r="G784" s="208"/>
      <c r="H784" s="209"/>
      <c r="I784" s="210"/>
      <c r="J784" s="211"/>
      <c r="K784" s="212"/>
      <c r="L784" s="213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</row>
    <row r="785">
      <c r="A785" s="75"/>
      <c r="B785" s="75"/>
      <c r="C785" s="75"/>
      <c r="D785" s="75"/>
      <c r="E785" s="75"/>
      <c r="F785" s="75"/>
      <c r="G785" s="208"/>
      <c r="H785" s="209"/>
      <c r="I785" s="210"/>
      <c r="J785" s="211"/>
      <c r="K785" s="212"/>
      <c r="L785" s="213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</row>
    <row r="786">
      <c r="A786" s="75"/>
      <c r="B786" s="75"/>
      <c r="C786" s="75"/>
      <c r="D786" s="75"/>
      <c r="E786" s="75"/>
      <c r="F786" s="75"/>
      <c r="G786" s="208"/>
      <c r="H786" s="209"/>
      <c r="I786" s="210"/>
      <c r="J786" s="211"/>
      <c r="K786" s="212"/>
      <c r="L786" s="213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</row>
    <row r="787">
      <c r="A787" s="75"/>
      <c r="B787" s="75"/>
      <c r="C787" s="75"/>
      <c r="D787" s="75"/>
      <c r="E787" s="75"/>
      <c r="F787" s="75"/>
      <c r="G787" s="208"/>
      <c r="H787" s="209"/>
      <c r="I787" s="210"/>
      <c r="J787" s="211"/>
      <c r="K787" s="212"/>
      <c r="L787" s="213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</row>
    <row r="788">
      <c r="A788" s="75"/>
      <c r="B788" s="75"/>
      <c r="C788" s="75"/>
      <c r="D788" s="75"/>
      <c r="E788" s="75"/>
      <c r="F788" s="75"/>
      <c r="G788" s="208"/>
      <c r="H788" s="209"/>
      <c r="I788" s="210"/>
      <c r="J788" s="211"/>
      <c r="K788" s="212"/>
      <c r="L788" s="213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</row>
    <row r="789">
      <c r="A789" s="75"/>
      <c r="B789" s="75"/>
      <c r="C789" s="75"/>
      <c r="D789" s="75"/>
      <c r="E789" s="75"/>
      <c r="F789" s="75"/>
      <c r="G789" s="208"/>
      <c r="H789" s="209"/>
      <c r="I789" s="210"/>
      <c r="J789" s="211"/>
      <c r="K789" s="212"/>
      <c r="L789" s="213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</row>
    <row r="790">
      <c r="A790" s="75"/>
      <c r="B790" s="75"/>
      <c r="C790" s="75"/>
      <c r="D790" s="75"/>
      <c r="E790" s="75"/>
      <c r="F790" s="75"/>
      <c r="G790" s="208"/>
      <c r="H790" s="209"/>
      <c r="I790" s="210"/>
      <c r="J790" s="211"/>
      <c r="K790" s="212"/>
      <c r="L790" s="213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</row>
    <row r="791">
      <c r="A791" s="75"/>
      <c r="B791" s="75"/>
      <c r="C791" s="75"/>
      <c r="D791" s="75"/>
      <c r="E791" s="75"/>
      <c r="F791" s="75"/>
      <c r="G791" s="208"/>
      <c r="H791" s="209"/>
      <c r="I791" s="210"/>
      <c r="J791" s="211"/>
      <c r="K791" s="212"/>
      <c r="L791" s="213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</row>
    <row r="792">
      <c r="A792" s="75"/>
      <c r="B792" s="75"/>
      <c r="C792" s="75"/>
      <c r="D792" s="75"/>
      <c r="E792" s="75"/>
      <c r="F792" s="75"/>
      <c r="G792" s="208"/>
      <c r="H792" s="209"/>
      <c r="I792" s="210"/>
      <c r="J792" s="211"/>
      <c r="K792" s="212"/>
      <c r="L792" s="213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</row>
    <row r="793">
      <c r="A793" s="75"/>
      <c r="B793" s="75"/>
      <c r="C793" s="75"/>
      <c r="D793" s="75"/>
      <c r="E793" s="75"/>
      <c r="F793" s="75"/>
      <c r="G793" s="208"/>
      <c r="H793" s="209"/>
      <c r="I793" s="210"/>
      <c r="J793" s="211"/>
      <c r="K793" s="212"/>
      <c r="L793" s="213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</row>
    <row r="794">
      <c r="A794" s="75"/>
      <c r="B794" s="75"/>
      <c r="C794" s="75"/>
      <c r="D794" s="75"/>
      <c r="E794" s="75"/>
      <c r="F794" s="75"/>
      <c r="G794" s="208"/>
      <c r="H794" s="209"/>
      <c r="I794" s="210"/>
      <c r="J794" s="211"/>
      <c r="K794" s="212"/>
      <c r="L794" s="213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</row>
    <row r="795">
      <c r="A795" s="75"/>
      <c r="B795" s="75"/>
      <c r="C795" s="75"/>
      <c r="D795" s="75"/>
      <c r="E795" s="75"/>
      <c r="F795" s="75"/>
      <c r="G795" s="208"/>
      <c r="H795" s="209"/>
      <c r="I795" s="210"/>
      <c r="J795" s="211"/>
      <c r="K795" s="212"/>
      <c r="L795" s="213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</row>
    <row r="796">
      <c r="A796" s="75"/>
      <c r="B796" s="75"/>
      <c r="C796" s="75"/>
      <c r="D796" s="75"/>
      <c r="E796" s="75"/>
      <c r="F796" s="75"/>
      <c r="G796" s="208"/>
      <c r="H796" s="209"/>
      <c r="I796" s="210"/>
      <c r="J796" s="211"/>
      <c r="K796" s="212"/>
      <c r="L796" s="213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</row>
    <row r="797">
      <c r="A797" s="75"/>
      <c r="B797" s="75"/>
      <c r="C797" s="75"/>
      <c r="D797" s="75"/>
      <c r="E797" s="75"/>
      <c r="F797" s="75"/>
      <c r="G797" s="208"/>
      <c r="H797" s="209"/>
      <c r="I797" s="210"/>
      <c r="J797" s="211"/>
      <c r="K797" s="212"/>
      <c r="L797" s="213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</row>
    <row r="798">
      <c r="A798" s="75"/>
      <c r="B798" s="75"/>
      <c r="C798" s="75"/>
      <c r="D798" s="75"/>
      <c r="E798" s="75"/>
      <c r="F798" s="75"/>
      <c r="G798" s="208"/>
      <c r="H798" s="209"/>
      <c r="I798" s="210"/>
      <c r="J798" s="211"/>
      <c r="K798" s="212"/>
      <c r="L798" s="213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</row>
    <row r="799">
      <c r="A799" s="75"/>
      <c r="B799" s="75"/>
      <c r="C799" s="75"/>
      <c r="D799" s="75"/>
      <c r="E799" s="75"/>
      <c r="F799" s="75"/>
      <c r="G799" s="208"/>
      <c r="H799" s="209"/>
      <c r="I799" s="210"/>
      <c r="J799" s="211"/>
      <c r="K799" s="212"/>
      <c r="L799" s="213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</row>
    <row r="800">
      <c r="A800" s="75"/>
      <c r="B800" s="75"/>
      <c r="C800" s="75"/>
      <c r="D800" s="75"/>
      <c r="E800" s="75"/>
      <c r="F800" s="75"/>
      <c r="G800" s="208"/>
      <c r="H800" s="209"/>
      <c r="I800" s="210"/>
      <c r="J800" s="211"/>
      <c r="K800" s="212"/>
      <c r="L800" s="213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</row>
    <row r="801">
      <c r="A801" s="75"/>
      <c r="B801" s="75"/>
      <c r="C801" s="75"/>
      <c r="D801" s="75"/>
      <c r="E801" s="75"/>
      <c r="F801" s="75"/>
      <c r="G801" s="208"/>
      <c r="H801" s="209"/>
      <c r="I801" s="210"/>
      <c r="J801" s="211"/>
      <c r="K801" s="212"/>
      <c r="L801" s="213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</row>
    <row r="802">
      <c r="A802" s="75"/>
      <c r="B802" s="75"/>
      <c r="C802" s="75"/>
      <c r="D802" s="75"/>
      <c r="E802" s="75"/>
      <c r="F802" s="75"/>
      <c r="G802" s="208"/>
      <c r="H802" s="209"/>
      <c r="I802" s="210"/>
      <c r="J802" s="211"/>
      <c r="K802" s="212"/>
      <c r="L802" s="213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</row>
    <row r="803">
      <c r="A803" s="75"/>
      <c r="B803" s="75"/>
      <c r="C803" s="75"/>
      <c r="D803" s="75"/>
      <c r="E803" s="75"/>
      <c r="F803" s="75"/>
      <c r="G803" s="208"/>
      <c r="H803" s="209"/>
      <c r="I803" s="210"/>
      <c r="J803" s="211"/>
      <c r="K803" s="212"/>
      <c r="L803" s="213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</row>
    <row r="804">
      <c r="A804" s="75"/>
      <c r="B804" s="75"/>
      <c r="C804" s="75"/>
      <c r="D804" s="75"/>
      <c r="E804" s="75"/>
      <c r="F804" s="75"/>
      <c r="G804" s="208"/>
      <c r="H804" s="209"/>
      <c r="I804" s="210"/>
      <c r="J804" s="211"/>
      <c r="K804" s="212"/>
      <c r="L804" s="213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</row>
    <row r="805">
      <c r="A805" s="75"/>
      <c r="B805" s="75"/>
      <c r="C805" s="75"/>
      <c r="D805" s="75"/>
      <c r="E805" s="75"/>
      <c r="F805" s="75"/>
      <c r="G805" s="208"/>
      <c r="H805" s="209"/>
      <c r="I805" s="210"/>
      <c r="J805" s="211"/>
      <c r="K805" s="212"/>
      <c r="L805" s="213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</row>
    <row r="806">
      <c r="A806" s="75"/>
      <c r="B806" s="75"/>
      <c r="C806" s="75"/>
      <c r="D806" s="75"/>
      <c r="E806" s="75"/>
      <c r="F806" s="75"/>
      <c r="G806" s="208"/>
      <c r="H806" s="209"/>
      <c r="I806" s="210"/>
      <c r="J806" s="211"/>
      <c r="K806" s="212"/>
      <c r="L806" s="213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</row>
    <row r="807">
      <c r="A807" s="75"/>
      <c r="B807" s="75"/>
      <c r="C807" s="75"/>
      <c r="D807" s="75"/>
      <c r="E807" s="75"/>
      <c r="F807" s="75"/>
      <c r="G807" s="208"/>
      <c r="H807" s="209"/>
      <c r="I807" s="210"/>
      <c r="J807" s="211"/>
      <c r="K807" s="212"/>
      <c r="L807" s="213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</row>
    <row r="808">
      <c r="A808" s="75"/>
      <c r="B808" s="75"/>
      <c r="C808" s="75"/>
      <c r="D808" s="75"/>
      <c r="E808" s="75"/>
      <c r="F808" s="75"/>
      <c r="G808" s="208"/>
      <c r="H808" s="209"/>
      <c r="I808" s="210"/>
      <c r="J808" s="211"/>
      <c r="K808" s="212"/>
      <c r="L808" s="213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</row>
    <row r="809">
      <c r="A809" s="75"/>
      <c r="B809" s="75"/>
      <c r="C809" s="75"/>
      <c r="D809" s="75"/>
      <c r="E809" s="75"/>
      <c r="F809" s="75"/>
      <c r="G809" s="208"/>
      <c r="H809" s="209"/>
      <c r="I809" s="210"/>
      <c r="J809" s="211"/>
      <c r="K809" s="212"/>
      <c r="L809" s="213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</row>
    <row r="810">
      <c r="A810" s="75"/>
      <c r="B810" s="75"/>
      <c r="C810" s="75"/>
      <c r="D810" s="75"/>
      <c r="E810" s="75"/>
      <c r="F810" s="75"/>
      <c r="G810" s="208"/>
      <c r="H810" s="209"/>
      <c r="I810" s="210"/>
      <c r="J810" s="211"/>
      <c r="K810" s="212"/>
      <c r="L810" s="213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</row>
    <row r="811">
      <c r="A811" s="75"/>
      <c r="B811" s="75"/>
      <c r="C811" s="75"/>
      <c r="D811" s="75"/>
      <c r="E811" s="75"/>
      <c r="F811" s="75"/>
      <c r="G811" s="208"/>
      <c r="H811" s="209"/>
      <c r="I811" s="210"/>
      <c r="J811" s="211"/>
      <c r="K811" s="212"/>
      <c r="L811" s="213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</row>
    <row r="812">
      <c r="A812" s="75"/>
      <c r="B812" s="75"/>
      <c r="C812" s="75"/>
      <c r="D812" s="75"/>
      <c r="E812" s="75"/>
      <c r="F812" s="75"/>
      <c r="G812" s="208"/>
      <c r="H812" s="209"/>
      <c r="I812" s="210"/>
      <c r="J812" s="211"/>
      <c r="K812" s="212"/>
      <c r="L812" s="213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</row>
    <row r="813">
      <c r="A813" s="75"/>
      <c r="B813" s="75"/>
      <c r="C813" s="75"/>
      <c r="D813" s="75"/>
      <c r="E813" s="75"/>
      <c r="F813" s="75"/>
      <c r="G813" s="208"/>
      <c r="H813" s="209"/>
      <c r="I813" s="210"/>
      <c r="J813" s="211"/>
      <c r="K813" s="212"/>
      <c r="L813" s="213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</row>
    <row r="814">
      <c r="A814" s="75"/>
      <c r="B814" s="75"/>
      <c r="C814" s="75"/>
      <c r="D814" s="75"/>
      <c r="E814" s="75"/>
      <c r="F814" s="75"/>
      <c r="G814" s="208"/>
      <c r="H814" s="209"/>
      <c r="I814" s="210"/>
      <c r="J814" s="211"/>
      <c r="K814" s="212"/>
      <c r="L814" s="213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</row>
    <row r="815">
      <c r="A815" s="75"/>
      <c r="B815" s="75"/>
      <c r="C815" s="75"/>
      <c r="D815" s="75"/>
      <c r="E815" s="75"/>
      <c r="F815" s="75"/>
      <c r="G815" s="208"/>
      <c r="H815" s="209"/>
      <c r="I815" s="210"/>
      <c r="J815" s="211"/>
      <c r="K815" s="212"/>
      <c r="L815" s="213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</row>
    <row r="816">
      <c r="A816" s="75"/>
      <c r="B816" s="75"/>
      <c r="C816" s="75"/>
      <c r="D816" s="75"/>
      <c r="E816" s="75"/>
      <c r="F816" s="75"/>
      <c r="G816" s="208"/>
      <c r="H816" s="209"/>
      <c r="I816" s="210"/>
      <c r="J816" s="211"/>
      <c r="K816" s="212"/>
      <c r="L816" s="213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</row>
    <row r="817">
      <c r="A817" s="75"/>
      <c r="B817" s="75"/>
      <c r="C817" s="75"/>
      <c r="D817" s="75"/>
      <c r="E817" s="75"/>
      <c r="F817" s="75"/>
      <c r="G817" s="208"/>
      <c r="H817" s="209"/>
      <c r="I817" s="210"/>
      <c r="J817" s="211"/>
      <c r="K817" s="212"/>
      <c r="L817" s="213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</row>
    <row r="818">
      <c r="A818" s="75"/>
      <c r="B818" s="75"/>
      <c r="C818" s="75"/>
      <c r="D818" s="75"/>
      <c r="E818" s="75"/>
      <c r="F818" s="75"/>
      <c r="G818" s="208"/>
      <c r="H818" s="209"/>
      <c r="I818" s="210"/>
      <c r="J818" s="211"/>
      <c r="K818" s="212"/>
      <c r="L818" s="213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</row>
    <row r="819">
      <c r="A819" s="75"/>
      <c r="B819" s="75"/>
      <c r="C819" s="75"/>
      <c r="D819" s="75"/>
      <c r="E819" s="75"/>
      <c r="F819" s="75"/>
      <c r="G819" s="208"/>
      <c r="H819" s="209"/>
      <c r="I819" s="210"/>
      <c r="J819" s="211"/>
      <c r="K819" s="212"/>
      <c r="L819" s="213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</row>
    <row r="820">
      <c r="A820" s="75"/>
      <c r="B820" s="75"/>
      <c r="C820" s="75"/>
      <c r="D820" s="75"/>
      <c r="E820" s="75"/>
      <c r="F820" s="75"/>
      <c r="G820" s="208"/>
      <c r="H820" s="209"/>
      <c r="I820" s="210"/>
      <c r="J820" s="211"/>
      <c r="K820" s="212"/>
      <c r="L820" s="213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</row>
    <row r="821">
      <c r="A821" s="75"/>
      <c r="B821" s="75"/>
      <c r="C821" s="75"/>
      <c r="D821" s="75"/>
      <c r="E821" s="75"/>
      <c r="F821" s="75"/>
      <c r="G821" s="208"/>
      <c r="H821" s="209"/>
      <c r="I821" s="210"/>
      <c r="J821" s="211"/>
      <c r="K821" s="212"/>
      <c r="L821" s="213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</row>
    <row r="822">
      <c r="A822" s="75"/>
      <c r="B822" s="75"/>
      <c r="C822" s="75"/>
      <c r="D822" s="75"/>
      <c r="E822" s="75"/>
      <c r="F822" s="75"/>
      <c r="G822" s="208"/>
      <c r="H822" s="209"/>
      <c r="I822" s="210"/>
      <c r="J822" s="211"/>
      <c r="K822" s="212"/>
      <c r="L822" s="213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</row>
    <row r="823">
      <c r="A823" s="75"/>
      <c r="B823" s="75"/>
      <c r="C823" s="75"/>
      <c r="D823" s="75"/>
      <c r="E823" s="75"/>
      <c r="F823" s="75"/>
      <c r="G823" s="208"/>
      <c r="H823" s="209"/>
      <c r="I823" s="210"/>
      <c r="J823" s="211"/>
      <c r="K823" s="212"/>
      <c r="L823" s="213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</row>
    <row r="824">
      <c r="A824" s="75"/>
      <c r="B824" s="75"/>
      <c r="C824" s="75"/>
      <c r="D824" s="75"/>
      <c r="E824" s="75"/>
      <c r="F824" s="75"/>
      <c r="G824" s="208"/>
      <c r="H824" s="209"/>
      <c r="I824" s="210"/>
      <c r="J824" s="211"/>
      <c r="K824" s="212"/>
      <c r="L824" s="213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</row>
    <row r="825">
      <c r="A825" s="75"/>
      <c r="B825" s="75"/>
      <c r="C825" s="75"/>
      <c r="D825" s="75"/>
      <c r="E825" s="75"/>
      <c r="F825" s="75"/>
      <c r="G825" s="208"/>
      <c r="H825" s="209"/>
      <c r="I825" s="210"/>
      <c r="J825" s="211"/>
      <c r="K825" s="212"/>
      <c r="L825" s="213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</row>
    <row r="826">
      <c r="A826" s="75"/>
      <c r="B826" s="75"/>
      <c r="C826" s="75"/>
      <c r="D826" s="75"/>
      <c r="E826" s="75"/>
      <c r="F826" s="75"/>
      <c r="G826" s="208"/>
      <c r="H826" s="209"/>
      <c r="I826" s="210"/>
      <c r="J826" s="211"/>
      <c r="K826" s="212"/>
      <c r="L826" s="213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</row>
    <row r="827">
      <c r="A827" s="75"/>
      <c r="B827" s="75"/>
      <c r="C827" s="75"/>
      <c r="D827" s="75"/>
      <c r="E827" s="75"/>
      <c r="F827" s="75"/>
      <c r="G827" s="208"/>
      <c r="H827" s="209"/>
      <c r="I827" s="210"/>
      <c r="J827" s="211"/>
      <c r="K827" s="212"/>
      <c r="L827" s="213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</row>
    <row r="828">
      <c r="A828" s="75"/>
      <c r="B828" s="75"/>
      <c r="C828" s="75"/>
      <c r="D828" s="75"/>
      <c r="E828" s="75"/>
      <c r="F828" s="75"/>
      <c r="G828" s="208"/>
      <c r="H828" s="209"/>
      <c r="I828" s="210"/>
      <c r="J828" s="211"/>
      <c r="K828" s="212"/>
      <c r="L828" s="213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</row>
    <row r="829">
      <c r="A829" s="75"/>
      <c r="B829" s="75"/>
      <c r="C829" s="75"/>
      <c r="D829" s="75"/>
      <c r="E829" s="75"/>
      <c r="F829" s="75"/>
      <c r="G829" s="208"/>
      <c r="H829" s="209"/>
      <c r="I829" s="210"/>
      <c r="J829" s="211"/>
      <c r="K829" s="212"/>
      <c r="L829" s="213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</row>
    <row r="830">
      <c r="A830" s="75"/>
      <c r="B830" s="75"/>
      <c r="C830" s="75"/>
      <c r="D830" s="75"/>
      <c r="E830" s="75"/>
      <c r="F830" s="75"/>
      <c r="G830" s="208"/>
      <c r="H830" s="209"/>
      <c r="I830" s="210"/>
      <c r="J830" s="211"/>
      <c r="K830" s="212"/>
      <c r="L830" s="213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</row>
    <row r="831">
      <c r="A831" s="75"/>
      <c r="B831" s="75"/>
      <c r="C831" s="75"/>
      <c r="D831" s="75"/>
      <c r="E831" s="75"/>
      <c r="F831" s="75"/>
      <c r="G831" s="208"/>
      <c r="H831" s="209"/>
      <c r="I831" s="210"/>
      <c r="J831" s="211"/>
      <c r="K831" s="212"/>
      <c r="L831" s="213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</row>
    <row r="832">
      <c r="A832" s="75"/>
      <c r="B832" s="75"/>
      <c r="C832" s="75"/>
      <c r="D832" s="75"/>
      <c r="E832" s="75"/>
      <c r="F832" s="75"/>
      <c r="G832" s="208"/>
      <c r="H832" s="209"/>
      <c r="I832" s="210"/>
      <c r="J832" s="211"/>
      <c r="K832" s="212"/>
      <c r="L832" s="213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</row>
    <row r="833">
      <c r="A833" s="75"/>
      <c r="B833" s="75"/>
      <c r="C833" s="75"/>
      <c r="D833" s="75"/>
      <c r="E833" s="75"/>
      <c r="F833" s="75"/>
      <c r="G833" s="208"/>
      <c r="H833" s="209"/>
      <c r="I833" s="210"/>
      <c r="J833" s="211"/>
      <c r="K833" s="212"/>
      <c r="L833" s="213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</row>
    <row r="834">
      <c r="A834" s="75"/>
      <c r="B834" s="75"/>
      <c r="C834" s="75"/>
      <c r="D834" s="75"/>
      <c r="E834" s="75"/>
      <c r="F834" s="75"/>
      <c r="G834" s="208"/>
      <c r="H834" s="209"/>
      <c r="I834" s="210"/>
      <c r="J834" s="211"/>
      <c r="K834" s="212"/>
      <c r="L834" s="213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</row>
    <row r="835">
      <c r="A835" s="75"/>
      <c r="B835" s="75"/>
      <c r="C835" s="75"/>
      <c r="D835" s="75"/>
      <c r="E835" s="75"/>
      <c r="F835" s="75"/>
      <c r="G835" s="208"/>
      <c r="H835" s="209"/>
      <c r="I835" s="210"/>
      <c r="J835" s="211"/>
      <c r="K835" s="212"/>
      <c r="L835" s="213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</row>
    <row r="836">
      <c r="A836" s="75"/>
      <c r="B836" s="75"/>
      <c r="C836" s="75"/>
      <c r="D836" s="75"/>
      <c r="E836" s="75"/>
      <c r="F836" s="75"/>
      <c r="G836" s="208"/>
      <c r="H836" s="209"/>
      <c r="I836" s="210"/>
      <c r="J836" s="211"/>
      <c r="K836" s="212"/>
      <c r="L836" s="213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</row>
    <row r="837">
      <c r="A837" s="75"/>
      <c r="B837" s="75"/>
      <c r="C837" s="75"/>
      <c r="D837" s="75"/>
      <c r="E837" s="75"/>
      <c r="F837" s="75"/>
      <c r="G837" s="208"/>
      <c r="H837" s="209"/>
      <c r="I837" s="210"/>
      <c r="J837" s="211"/>
      <c r="K837" s="212"/>
      <c r="L837" s="213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</row>
    <row r="838">
      <c r="A838" s="75"/>
      <c r="B838" s="75"/>
      <c r="C838" s="75"/>
      <c r="D838" s="75"/>
      <c r="E838" s="75"/>
      <c r="F838" s="75"/>
      <c r="G838" s="208"/>
      <c r="H838" s="209"/>
      <c r="I838" s="210"/>
      <c r="J838" s="211"/>
      <c r="K838" s="212"/>
      <c r="L838" s="213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</row>
    <row r="839">
      <c r="A839" s="75"/>
      <c r="B839" s="75"/>
      <c r="C839" s="75"/>
      <c r="D839" s="75"/>
      <c r="E839" s="75"/>
      <c r="F839" s="75"/>
      <c r="G839" s="208"/>
      <c r="H839" s="209"/>
      <c r="I839" s="210"/>
      <c r="J839" s="211"/>
      <c r="K839" s="212"/>
      <c r="L839" s="213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</row>
    <row r="840">
      <c r="A840" s="75"/>
      <c r="B840" s="75"/>
      <c r="C840" s="75"/>
      <c r="D840" s="75"/>
      <c r="E840" s="75"/>
      <c r="F840" s="75"/>
      <c r="G840" s="208"/>
      <c r="H840" s="209"/>
      <c r="I840" s="210"/>
      <c r="J840" s="211"/>
      <c r="K840" s="212"/>
      <c r="L840" s="213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</row>
    <row r="841">
      <c r="A841" s="75"/>
      <c r="B841" s="75"/>
      <c r="C841" s="75"/>
      <c r="D841" s="75"/>
      <c r="E841" s="75"/>
      <c r="F841" s="75"/>
      <c r="G841" s="208"/>
      <c r="H841" s="209"/>
      <c r="I841" s="210"/>
      <c r="J841" s="211"/>
      <c r="K841" s="212"/>
      <c r="L841" s="213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</row>
    <row r="842">
      <c r="A842" s="75"/>
      <c r="B842" s="75"/>
      <c r="C842" s="75"/>
      <c r="D842" s="75"/>
      <c r="E842" s="75"/>
      <c r="F842" s="75"/>
      <c r="G842" s="208"/>
      <c r="H842" s="209"/>
      <c r="I842" s="210"/>
      <c r="J842" s="211"/>
      <c r="K842" s="212"/>
      <c r="L842" s="213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</row>
    <row r="843">
      <c r="A843" s="75"/>
      <c r="B843" s="75"/>
      <c r="C843" s="75"/>
      <c r="D843" s="75"/>
      <c r="E843" s="75"/>
      <c r="F843" s="75"/>
      <c r="G843" s="208"/>
      <c r="H843" s="209"/>
      <c r="I843" s="210"/>
      <c r="J843" s="211"/>
      <c r="K843" s="212"/>
      <c r="L843" s="213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</row>
    <row r="844">
      <c r="A844" s="75"/>
      <c r="B844" s="75"/>
      <c r="C844" s="75"/>
      <c r="D844" s="75"/>
      <c r="E844" s="75"/>
      <c r="F844" s="75"/>
      <c r="G844" s="208"/>
      <c r="H844" s="209"/>
      <c r="I844" s="210"/>
      <c r="J844" s="211"/>
      <c r="K844" s="212"/>
      <c r="L844" s="213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</row>
    <row r="845">
      <c r="A845" s="75"/>
      <c r="B845" s="75"/>
      <c r="C845" s="75"/>
      <c r="D845" s="75"/>
      <c r="E845" s="75"/>
      <c r="F845" s="75"/>
      <c r="G845" s="208"/>
      <c r="H845" s="209"/>
      <c r="I845" s="210"/>
      <c r="J845" s="211"/>
      <c r="K845" s="212"/>
      <c r="L845" s="213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</row>
    <row r="846">
      <c r="A846" s="75"/>
      <c r="B846" s="75"/>
      <c r="C846" s="75"/>
      <c r="D846" s="75"/>
      <c r="E846" s="75"/>
      <c r="F846" s="75"/>
      <c r="G846" s="208"/>
      <c r="H846" s="209"/>
      <c r="I846" s="210"/>
      <c r="J846" s="211"/>
      <c r="K846" s="212"/>
      <c r="L846" s="213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</row>
    <row r="847">
      <c r="A847" s="75"/>
      <c r="B847" s="75"/>
      <c r="C847" s="75"/>
      <c r="D847" s="75"/>
      <c r="E847" s="75"/>
      <c r="F847" s="75"/>
      <c r="G847" s="208"/>
      <c r="H847" s="209"/>
      <c r="I847" s="210"/>
      <c r="J847" s="211"/>
      <c r="K847" s="212"/>
      <c r="L847" s="213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</row>
    <row r="848">
      <c r="A848" s="75"/>
      <c r="B848" s="75"/>
      <c r="C848" s="75"/>
      <c r="D848" s="75"/>
      <c r="E848" s="75"/>
      <c r="F848" s="75"/>
      <c r="G848" s="208"/>
      <c r="H848" s="209"/>
      <c r="I848" s="210"/>
      <c r="J848" s="211"/>
      <c r="K848" s="212"/>
      <c r="L848" s="213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</row>
    <row r="849">
      <c r="A849" s="75"/>
      <c r="B849" s="75"/>
      <c r="C849" s="75"/>
      <c r="D849" s="75"/>
      <c r="E849" s="75"/>
      <c r="F849" s="75"/>
      <c r="G849" s="208"/>
      <c r="H849" s="209"/>
      <c r="I849" s="210"/>
      <c r="J849" s="211"/>
      <c r="K849" s="212"/>
      <c r="L849" s="213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</row>
    <row r="850">
      <c r="A850" s="75"/>
      <c r="B850" s="75"/>
      <c r="C850" s="75"/>
      <c r="D850" s="75"/>
      <c r="E850" s="75"/>
      <c r="F850" s="75"/>
      <c r="G850" s="208"/>
      <c r="H850" s="209"/>
      <c r="I850" s="210"/>
      <c r="J850" s="211"/>
      <c r="K850" s="212"/>
      <c r="L850" s="213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</row>
    <row r="851">
      <c r="A851" s="75"/>
      <c r="B851" s="75"/>
      <c r="C851" s="75"/>
      <c r="D851" s="75"/>
      <c r="E851" s="75"/>
      <c r="F851" s="75"/>
      <c r="G851" s="208"/>
      <c r="H851" s="209"/>
      <c r="I851" s="210"/>
      <c r="J851" s="211"/>
      <c r="K851" s="212"/>
      <c r="L851" s="213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</row>
    <row r="852">
      <c r="A852" s="75"/>
      <c r="B852" s="75"/>
      <c r="C852" s="75"/>
      <c r="D852" s="75"/>
      <c r="E852" s="75"/>
      <c r="F852" s="75"/>
      <c r="G852" s="208"/>
      <c r="H852" s="209"/>
      <c r="I852" s="210"/>
      <c r="J852" s="211"/>
      <c r="K852" s="212"/>
      <c r="L852" s="213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</row>
    <row r="853">
      <c r="A853" s="75"/>
      <c r="B853" s="75"/>
      <c r="C853" s="75"/>
      <c r="D853" s="75"/>
      <c r="E853" s="75"/>
      <c r="F853" s="75"/>
      <c r="G853" s="208"/>
      <c r="H853" s="209"/>
      <c r="I853" s="210"/>
      <c r="J853" s="211"/>
      <c r="K853" s="212"/>
      <c r="L853" s="213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</row>
    <row r="854">
      <c r="A854" s="75"/>
      <c r="B854" s="75"/>
      <c r="C854" s="75"/>
      <c r="D854" s="75"/>
      <c r="E854" s="75"/>
      <c r="F854" s="75"/>
      <c r="G854" s="208"/>
      <c r="H854" s="209"/>
      <c r="I854" s="210"/>
      <c r="J854" s="211"/>
      <c r="K854" s="212"/>
      <c r="L854" s="213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</row>
    <row r="855">
      <c r="A855" s="75"/>
      <c r="B855" s="75"/>
      <c r="C855" s="75"/>
      <c r="D855" s="75"/>
      <c r="E855" s="75"/>
      <c r="F855" s="75"/>
      <c r="G855" s="208"/>
      <c r="H855" s="209"/>
      <c r="I855" s="210"/>
      <c r="J855" s="211"/>
      <c r="K855" s="212"/>
      <c r="L855" s="213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</row>
    <row r="856">
      <c r="A856" s="75"/>
      <c r="B856" s="75"/>
      <c r="C856" s="75"/>
      <c r="D856" s="75"/>
      <c r="E856" s="75"/>
      <c r="F856" s="75"/>
      <c r="G856" s="208"/>
      <c r="H856" s="209"/>
      <c r="I856" s="210"/>
      <c r="J856" s="211"/>
      <c r="K856" s="212"/>
      <c r="L856" s="213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</row>
    <row r="857">
      <c r="A857" s="75"/>
      <c r="B857" s="75"/>
      <c r="C857" s="75"/>
      <c r="D857" s="75"/>
      <c r="E857" s="75"/>
      <c r="F857" s="75"/>
      <c r="G857" s="208"/>
      <c r="H857" s="209"/>
      <c r="I857" s="210"/>
      <c r="J857" s="211"/>
      <c r="K857" s="212"/>
      <c r="L857" s="213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</row>
    <row r="858">
      <c r="A858" s="75"/>
      <c r="B858" s="75"/>
      <c r="C858" s="75"/>
      <c r="D858" s="75"/>
      <c r="E858" s="75"/>
      <c r="F858" s="75"/>
      <c r="G858" s="208"/>
      <c r="H858" s="209"/>
      <c r="I858" s="210"/>
      <c r="J858" s="211"/>
      <c r="K858" s="212"/>
      <c r="L858" s="213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</row>
    <row r="859">
      <c r="A859" s="75"/>
      <c r="B859" s="75"/>
      <c r="C859" s="75"/>
      <c r="D859" s="75"/>
      <c r="E859" s="75"/>
      <c r="F859" s="75"/>
      <c r="G859" s="208"/>
      <c r="H859" s="209"/>
      <c r="I859" s="210"/>
      <c r="J859" s="211"/>
      <c r="K859" s="212"/>
      <c r="L859" s="213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</row>
    <row r="860">
      <c r="A860" s="75"/>
      <c r="B860" s="75"/>
      <c r="C860" s="75"/>
      <c r="D860" s="75"/>
      <c r="E860" s="75"/>
      <c r="F860" s="75"/>
      <c r="G860" s="208"/>
      <c r="H860" s="209"/>
      <c r="I860" s="210"/>
      <c r="J860" s="211"/>
      <c r="K860" s="212"/>
      <c r="L860" s="213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</row>
    <row r="861">
      <c r="A861" s="75"/>
      <c r="B861" s="75"/>
      <c r="C861" s="75"/>
      <c r="D861" s="75"/>
      <c r="E861" s="75"/>
      <c r="F861" s="75"/>
      <c r="G861" s="208"/>
      <c r="H861" s="209"/>
      <c r="I861" s="210"/>
      <c r="J861" s="211"/>
      <c r="K861" s="212"/>
      <c r="L861" s="213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</row>
    <row r="862">
      <c r="A862" s="75"/>
      <c r="B862" s="75"/>
      <c r="C862" s="75"/>
      <c r="D862" s="75"/>
      <c r="E862" s="75"/>
      <c r="F862" s="75"/>
      <c r="G862" s="208"/>
      <c r="H862" s="209"/>
      <c r="I862" s="210"/>
      <c r="J862" s="211"/>
      <c r="K862" s="212"/>
      <c r="L862" s="213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</row>
    <row r="863">
      <c r="A863" s="75"/>
      <c r="B863" s="75"/>
      <c r="C863" s="75"/>
      <c r="D863" s="75"/>
      <c r="E863" s="75"/>
      <c r="F863" s="75"/>
      <c r="G863" s="208"/>
      <c r="H863" s="209"/>
      <c r="I863" s="210"/>
      <c r="J863" s="211"/>
      <c r="K863" s="212"/>
      <c r="L863" s="213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</row>
    <row r="864">
      <c r="A864" s="75"/>
      <c r="B864" s="75"/>
      <c r="C864" s="75"/>
      <c r="D864" s="75"/>
      <c r="E864" s="75"/>
      <c r="F864" s="75"/>
      <c r="G864" s="208"/>
      <c r="H864" s="209"/>
      <c r="I864" s="210"/>
      <c r="J864" s="211"/>
      <c r="K864" s="212"/>
      <c r="L864" s="213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</row>
    <row r="865">
      <c r="A865" s="75"/>
      <c r="B865" s="75"/>
      <c r="C865" s="75"/>
      <c r="D865" s="75"/>
      <c r="E865" s="75"/>
      <c r="F865" s="75"/>
      <c r="G865" s="208"/>
      <c r="H865" s="209"/>
      <c r="I865" s="210"/>
      <c r="J865" s="211"/>
      <c r="K865" s="212"/>
      <c r="L865" s="213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</row>
    <row r="866">
      <c r="A866" s="75"/>
      <c r="B866" s="75"/>
      <c r="C866" s="75"/>
      <c r="D866" s="75"/>
      <c r="E866" s="75"/>
      <c r="F866" s="75"/>
      <c r="G866" s="208"/>
      <c r="H866" s="209"/>
      <c r="I866" s="210"/>
      <c r="J866" s="211"/>
      <c r="K866" s="212"/>
      <c r="L866" s="213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</row>
    <row r="867">
      <c r="A867" s="75"/>
      <c r="B867" s="75"/>
      <c r="C867" s="75"/>
      <c r="D867" s="75"/>
      <c r="E867" s="75"/>
      <c r="F867" s="75"/>
      <c r="G867" s="208"/>
      <c r="H867" s="209"/>
      <c r="I867" s="210"/>
      <c r="J867" s="211"/>
      <c r="K867" s="212"/>
      <c r="L867" s="213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</row>
    <row r="868">
      <c r="A868" s="75"/>
      <c r="B868" s="75"/>
      <c r="C868" s="75"/>
      <c r="D868" s="75"/>
      <c r="E868" s="75"/>
      <c r="F868" s="75"/>
      <c r="G868" s="208"/>
      <c r="H868" s="209"/>
      <c r="I868" s="210"/>
      <c r="J868" s="211"/>
      <c r="K868" s="212"/>
      <c r="L868" s="213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</row>
    <row r="869">
      <c r="A869" s="75"/>
      <c r="B869" s="75"/>
      <c r="C869" s="75"/>
      <c r="D869" s="75"/>
      <c r="E869" s="75"/>
      <c r="F869" s="75"/>
      <c r="G869" s="208"/>
      <c r="H869" s="209"/>
      <c r="I869" s="210"/>
      <c r="J869" s="211"/>
      <c r="K869" s="212"/>
      <c r="L869" s="213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</row>
    <row r="870">
      <c r="A870" s="75"/>
      <c r="B870" s="75"/>
      <c r="C870" s="75"/>
      <c r="D870" s="75"/>
      <c r="E870" s="75"/>
      <c r="F870" s="75"/>
      <c r="G870" s="208"/>
      <c r="H870" s="209"/>
      <c r="I870" s="210"/>
      <c r="J870" s="211"/>
      <c r="K870" s="212"/>
      <c r="L870" s="213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</row>
    <row r="871">
      <c r="A871" s="75"/>
      <c r="B871" s="75"/>
      <c r="C871" s="75"/>
      <c r="D871" s="75"/>
      <c r="E871" s="75"/>
      <c r="F871" s="75"/>
      <c r="G871" s="208"/>
      <c r="H871" s="209"/>
      <c r="I871" s="210"/>
      <c r="J871" s="211"/>
      <c r="K871" s="212"/>
      <c r="L871" s="213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</row>
    <row r="872">
      <c r="A872" s="75"/>
      <c r="B872" s="75"/>
      <c r="C872" s="75"/>
      <c r="D872" s="75"/>
      <c r="E872" s="75"/>
      <c r="F872" s="75"/>
      <c r="G872" s="208"/>
      <c r="H872" s="209"/>
      <c r="I872" s="210"/>
      <c r="J872" s="211"/>
      <c r="K872" s="212"/>
      <c r="L872" s="213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</row>
    <row r="873">
      <c r="A873" s="75"/>
      <c r="B873" s="75"/>
      <c r="C873" s="75"/>
      <c r="D873" s="75"/>
      <c r="E873" s="75"/>
      <c r="F873" s="75"/>
      <c r="G873" s="208"/>
      <c r="H873" s="209"/>
      <c r="I873" s="210"/>
      <c r="J873" s="211"/>
      <c r="K873" s="212"/>
      <c r="L873" s="213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</row>
    <row r="874">
      <c r="A874" s="75"/>
      <c r="B874" s="75"/>
      <c r="C874" s="75"/>
      <c r="D874" s="75"/>
      <c r="E874" s="75"/>
      <c r="F874" s="75"/>
      <c r="G874" s="208"/>
      <c r="H874" s="209"/>
      <c r="I874" s="210"/>
      <c r="J874" s="211"/>
      <c r="K874" s="212"/>
      <c r="L874" s="213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</row>
    <row r="875">
      <c r="A875" s="75"/>
      <c r="B875" s="75"/>
      <c r="C875" s="75"/>
      <c r="D875" s="75"/>
      <c r="E875" s="75"/>
      <c r="F875" s="75"/>
      <c r="G875" s="208"/>
      <c r="H875" s="209"/>
      <c r="I875" s="210"/>
      <c r="J875" s="211"/>
      <c r="K875" s="212"/>
      <c r="L875" s="213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</row>
    <row r="876">
      <c r="A876" s="75"/>
      <c r="B876" s="75"/>
      <c r="C876" s="75"/>
      <c r="D876" s="75"/>
      <c r="E876" s="75"/>
      <c r="F876" s="75"/>
      <c r="G876" s="208"/>
      <c r="H876" s="209"/>
      <c r="I876" s="210"/>
      <c r="J876" s="211"/>
      <c r="K876" s="212"/>
      <c r="L876" s="213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</row>
    <row r="877">
      <c r="A877" s="75"/>
      <c r="B877" s="75"/>
      <c r="C877" s="75"/>
      <c r="D877" s="75"/>
      <c r="E877" s="75"/>
      <c r="F877" s="75"/>
      <c r="G877" s="208"/>
      <c r="H877" s="209"/>
      <c r="I877" s="210"/>
      <c r="J877" s="211"/>
      <c r="K877" s="212"/>
      <c r="L877" s="213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</row>
    <row r="878">
      <c r="A878" s="75"/>
      <c r="B878" s="75"/>
      <c r="C878" s="75"/>
      <c r="D878" s="75"/>
      <c r="E878" s="75"/>
      <c r="F878" s="75"/>
      <c r="G878" s="208"/>
      <c r="H878" s="209"/>
      <c r="I878" s="210"/>
      <c r="J878" s="211"/>
      <c r="K878" s="212"/>
      <c r="L878" s="213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</row>
    <row r="879">
      <c r="A879" s="75"/>
      <c r="B879" s="75"/>
      <c r="C879" s="75"/>
      <c r="D879" s="75"/>
      <c r="E879" s="75"/>
      <c r="F879" s="75"/>
      <c r="G879" s="208"/>
      <c r="H879" s="209"/>
      <c r="I879" s="210"/>
      <c r="J879" s="211"/>
      <c r="K879" s="212"/>
      <c r="L879" s="213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</row>
    <row r="880">
      <c r="A880" s="75"/>
      <c r="B880" s="75"/>
      <c r="C880" s="75"/>
      <c r="D880" s="75"/>
      <c r="E880" s="75"/>
      <c r="F880" s="75"/>
      <c r="G880" s="208"/>
      <c r="H880" s="209"/>
      <c r="I880" s="210"/>
      <c r="J880" s="211"/>
      <c r="K880" s="212"/>
      <c r="L880" s="213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</row>
    <row r="881">
      <c r="A881" s="75"/>
      <c r="B881" s="75"/>
      <c r="C881" s="75"/>
      <c r="D881" s="75"/>
      <c r="E881" s="75"/>
      <c r="F881" s="75"/>
      <c r="G881" s="208"/>
      <c r="H881" s="209"/>
      <c r="I881" s="210"/>
      <c r="J881" s="211"/>
      <c r="K881" s="212"/>
      <c r="L881" s="213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</row>
    <row r="882">
      <c r="A882" s="75"/>
      <c r="B882" s="75"/>
      <c r="C882" s="75"/>
      <c r="D882" s="75"/>
      <c r="E882" s="75"/>
      <c r="F882" s="75"/>
      <c r="G882" s="208"/>
      <c r="H882" s="209"/>
      <c r="I882" s="210"/>
      <c r="J882" s="211"/>
      <c r="K882" s="212"/>
      <c r="L882" s="213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</row>
    <row r="883">
      <c r="A883" s="75"/>
      <c r="B883" s="75"/>
      <c r="C883" s="75"/>
      <c r="D883" s="75"/>
      <c r="E883" s="75"/>
      <c r="F883" s="75"/>
      <c r="G883" s="208"/>
      <c r="H883" s="209"/>
      <c r="I883" s="210"/>
      <c r="J883" s="211"/>
      <c r="K883" s="212"/>
      <c r="L883" s="213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</row>
    <row r="884">
      <c r="A884" s="75"/>
      <c r="B884" s="75"/>
      <c r="C884" s="75"/>
      <c r="D884" s="75"/>
      <c r="E884" s="75"/>
      <c r="F884" s="75"/>
      <c r="G884" s="208"/>
      <c r="H884" s="209"/>
      <c r="I884" s="210"/>
      <c r="J884" s="211"/>
      <c r="K884" s="212"/>
      <c r="L884" s="213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</row>
    <row r="885">
      <c r="A885" s="75"/>
      <c r="B885" s="75"/>
      <c r="C885" s="75"/>
      <c r="D885" s="75"/>
      <c r="E885" s="75"/>
      <c r="F885" s="75"/>
      <c r="G885" s="208"/>
      <c r="H885" s="209"/>
      <c r="I885" s="210"/>
      <c r="J885" s="211"/>
      <c r="K885" s="212"/>
      <c r="L885" s="213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</row>
    <row r="886">
      <c r="A886" s="75"/>
      <c r="B886" s="75"/>
      <c r="C886" s="75"/>
      <c r="D886" s="75"/>
      <c r="E886" s="75"/>
      <c r="F886" s="75"/>
      <c r="G886" s="208"/>
      <c r="H886" s="209"/>
      <c r="I886" s="210"/>
      <c r="J886" s="211"/>
      <c r="K886" s="212"/>
      <c r="L886" s="213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</row>
    <row r="887">
      <c r="A887" s="75"/>
      <c r="B887" s="75"/>
      <c r="C887" s="75"/>
      <c r="D887" s="75"/>
      <c r="E887" s="75"/>
      <c r="F887" s="75"/>
      <c r="G887" s="208"/>
      <c r="H887" s="209"/>
      <c r="I887" s="210"/>
      <c r="J887" s="211"/>
      <c r="K887" s="212"/>
      <c r="L887" s="213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</row>
    <row r="888">
      <c r="A888" s="75"/>
      <c r="B888" s="75"/>
      <c r="C888" s="75"/>
      <c r="D888" s="75"/>
      <c r="E888" s="75"/>
      <c r="F888" s="75"/>
      <c r="G888" s="208"/>
      <c r="H888" s="209"/>
      <c r="I888" s="210"/>
      <c r="J888" s="211"/>
      <c r="K888" s="212"/>
      <c r="L888" s="213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</row>
    <row r="889">
      <c r="A889" s="75"/>
      <c r="B889" s="75"/>
      <c r="C889" s="75"/>
      <c r="D889" s="75"/>
      <c r="E889" s="75"/>
      <c r="F889" s="75"/>
      <c r="G889" s="208"/>
      <c r="H889" s="209"/>
      <c r="I889" s="210"/>
      <c r="J889" s="211"/>
      <c r="K889" s="212"/>
      <c r="L889" s="213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</row>
    <row r="890">
      <c r="A890" s="75"/>
      <c r="B890" s="75"/>
      <c r="C890" s="75"/>
      <c r="D890" s="75"/>
      <c r="E890" s="75"/>
      <c r="F890" s="75"/>
      <c r="G890" s="208"/>
      <c r="H890" s="209"/>
      <c r="I890" s="210"/>
      <c r="J890" s="211"/>
      <c r="K890" s="212"/>
      <c r="L890" s="213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</row>
    <row r="891">
      <c r="A891" s="75"/>
      <c r="B891" s="75"/>
      <c r="C891" s="75"/>
      <c r="D891" s="75"/>
      <c r="E891" s="75"/>
      <c r="F891" s="75"/>
      <c r="G891" s="208"/>
      <c r="H891" s="209"/>
      <c r="I891" s="210"/>
      <c r="J891" s="211"/>
      <c r="K891" s="212"/>
      <c r="L891" s="213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</row>
    <row r="892">
      <c r="A892" s="75"/>
      <c r="B892" s="75"/>
      <c r="C892" s="75"/>
      <c r="D892" s="75"/>
      <c r="E892" s="75"/>
      <c r="F892" s="75"/>
      <c r="G892" s="208"/>
      <c r="H892" s="209"/>
      <c r="I892" s="210"/>
      <c r="J892" s="211"/>
      <c r="K892" s="212"/>
      <c r="L892" s="213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</row>
    <row r="893">
      <c r="A893" s="75"/>
      <c r="B893" s="75"/>
      <c r="C893" s="75"/>
      <c r="D893" s="75"/>
      <c r="E893" s="75"/>
      <c r="F893" s="75"/>
      <c r="G893" s="208"/>
      <c r="H893" s="209"/>
      <c r="I893" s="210"/>
      <c r="J893" s="211"/>
      <c r="K893" s="212"/>
      <c r="L893" s="213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</row>
    <row r="894">
      <c r="A894" s="75"/>
      <c r="B894" s="75"/>
      <c r="C894" s="75"/>
      <c r="D894" s="75"/>
      <c r="E894" s="75"/>
      <c r="F894" s="75"/>
      <c r="G894" s="208"/>
      <c r="H894" s="209"/>
      <c r="I894" s="210"/>
      <c r="J894" s="211"/>
      <c r="K894" s="212"/>
      <c r="L894" s="213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</row>
    <row r="895">
      <c r="A895" s="75"/>
      <c r="B895" s="75"/>
      <c r="C895" s="75"/>
      <c r="D895" s="75"/>
      <c r="E895" s="75"/>
      <c r="F895" s="75"/>
      <c r="G895" s="208"/>
      <c r="H895" s="209"/>
      <c r="I895" s="210"/>
      <c r="J895" s="211"/>
      <c r="K895" s="212"/>
      <c r="L895" s="213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</row>
    <row r="896">
      <c r="A896" s="75"/>
      <c r="B896" s="75"/>
      <c r="C896" s="75"/>
      <c r="D896" s="75"/>
      <c r="E896" s="75"/>
      <c r="F896" s="75"/>
      <c r="G896" s="208"/>
      <c r="H896" s="209"/>
      <c r="I896" s="210"/>
      <c r="J896" s="211"/>
      <c r="K896" s="212"/>
      <c r="L896" s="213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</row>
    <row r="897">
      <c r="A897" s="75"/>
      <c r="B897" s="75"/>
      <c r="C897" s="75"/>
      <c r="D897" s="75"/>
      <c r="E897" s="75"/>
      <c r="F897" s="75"/>
      <c r="G897" s="208"/>
      <c r="H897" s="209"/>
      <c r="I897" s="210"/>
      <c r="J897" s="211"/>
      <c r="K897" s="212"/>
      <c r="L897" s="213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</row>
    <row r="898">
      <c r="A898" s="75"/>
      <c r="B898" s="75"/>
      <c r="C898" s="75"/>
      <c r="D898" s="75"/>
      <c r="E898" s="75"/>
      <c r="F898" s="75"/>
      <c r="G898" s="208"/>
      <c r="H898" s="209"/>
      <c r="I898" s="210"/>
      <c r="J898" s="211"/>
      <c r="K898" s="212"/>
      <c r="L898" s="213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</row>
    <row r="899">
      <c r="A899" s="75"/>
      <c r="B899" s="75"/>
      <c r="C899" s="75"/>
      <c r="D899" s="75"/>
      <c r="E899" s="75"/>
      <c r="F899" s="75"/>
      <c r="G899" s="208"/>
      <c r="H899" s="209"/>
      <c r="I899" s="210"/>
      <c r="J899" s="211"/>
      <c r="K899" s="212"/>
      <c r="L899" s="213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</row>
    <row r="900">
      <c r="A900" s="75"/>
      <c r="B900" s="75"/>
      <c r="C900" s="75"/>
      <c r="D900" s="75"/>
      <c r="E900" s="75"/>
      <c r="F900" s="75"/>
      <c r="G900" s="208"/>
      <c r="H900" s="209"/>
      <c r="I900" s="210"/>
      <c r="J900" s="211"/>
      <c r="K900" s="212"/>
      <c r="L900" s="213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</row>
    <row r="901">
      <c r="A901" s="75"/>
      <c r="B901" s="75"/>
      <c r="C901" s="75"/>
      <c r="D901" s="75"/>
      <c r="E901" s="75"/>
      <c r="F901" s="75"/>
      <c r="G901" s="208"/>
      <c r="H901" s="209"/>
      <c r="I901" s="210"/>
      <c r="J901" s="211"/>
      <c r="K901" s="212"/>
      <c r="L901" s="213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</row>
    <row r="902">
      <c r="A902" s="75"/>
      <c r="B902" s="75"/>
      <c r="C902" s="75"/>
      <c r="D902" s="75"/>
      <c r="E902" s="75"/>
      <c r="F902" s="75"/>
      <c r="G902" s="208"/>
      <c r="H902" s="209"/>
      <c r="I902" s="210"/>
      <c r="J902" s="211"/>
      <c r="K902" s="212"/>
      <c r="L902" s="213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</row>
    <row r="903">
      <c r="A903" s="75"/>
      <c r="B903" s="75"/>
      <c r="C903" s="75"/>
      <c r="D903" s="75"/>
      <c r="E903" s="75"/>
      <c r="F903" s="75"/>
      <c r="G903" s="208"/>
      <c r="H903" s="209"/>
      <c r="I903" s="210"/>
      <c r="J903" s="211"/>
      <c r="K903" s="212"/>
      <c r="L903" s="213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</row>
    <row r="904">
      <c r="A904" s="75"/>
      <c r="B904" s="75"/>
      <c r="C904" s="75"/>
      <c r="D904" s="75"/>
      <c r="E904" s="75"/>
      <c r="F904" s="75"/>
      <c r="G904" s="208"/>
      <c r="H904" s="209"/>
      <c r="I904" s="210"/>
      <c r="J904" s="211"/>
      <c r="K904" s="212"/>
      <c r="L904" s="213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</row>
    <row r="905">
      <c r="A905" s="75"/>
      <c r="B905" s="75"/>
      <c r="C905" s="75"/>
      <c r="D905" s="75"/>
      <c r="E905" s="75"/>
      <c r="F905" s="75"/>
      <c r="G905" s="208"/>
      <c r="H905" s="209"/>
      <c r="I905" s="210"/>
      <c r="J905" s="211"/>
      <c r="K905" s="212"/>
      <c r="L905" s="213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</row>
    <row r="906">
      <c r="A906" s="75"/>
      <c r="B906" s="75"/>
      <c r="C906" s="75"/>
      <c r="D906" s="75"/>
      <c r="E906" s="75"/>
      <c r="F906" s="75"/>
      <c r="G906" s="208"/>
      <c r="H906" s="209"/>
      <c r="I906" s="210"/>
      <c r="J906" s="211"/>
      <c r="K906" s="212"/>
      <c r="L906" s="213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  <c r="AK906" s="75"/>
    </row>
    <row r="907">
      <c r="A907" s="75"/>
      <c r="B907" s="75"/>
      <c r="C907" s="75"/>
      <c r="D907" s="75"/>
      <c r="E907" s="75"/>
      <c r="F907" s="75"/>
      <c r="G907" s="208"/>
      <c r="H907" s="209"/>
      <c r="I907" s="210"/>
      <c r="J907" s="211"/>
      <c r="K907" s="212"/>
      <c r="L907" s="213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  <c r="AK907" s="75"/>
    </row>
    <row r="908">
      <c r="A908" s="75"/>
      <c r="B908" s="75"/>
      <c r="C908" s="75"/>
      <c r="D908" s="75"/>
      <c r="E908" s="75"/>
      <c r="F908" s="75"/>
      <c r="G908" s="208"/>
      <c r="H908" s="209"/>
      <c r="I908" s="210"/>
      <c r="J908" s="211"/>
      <c r="K908" s="212"/>
      <c r="L908" s="213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  <c r="AK908" s="75"/>
    </row>
    <row r="909">
      <c r="A909" s="75"/>
      <c r="B909" s="75"/>
      <c r="C909" s="75"/>
      <c r="D909" s="75"/>
      <c r="E909" s="75"/>
      <c r="F909" s="75"/>
      <c r="G909" s="208"/>
      <c r="H909" s="209"/>
      <c r="I909" s="210"/>
      <c r="J909" s="211"/>
      <c r="K909" s="212"/>
      <c r="L909" s="213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  <c r="AK909" s="75"/>
    </row>
    <row r="910">
      <c r="A910" s="75"/>
      <c r="B910" s="75"/>
      <c r="C910" s="75"/>
      <c r="D910" s="75"/>
      <c r="E910" s="75"/>
      <c r="F910" s="75"/>
      <c r="G910" s="208"/>
      <c r="H910" s="209"/>
      <c r="I910" s="210"/>
      <c r="J910" s="211"/>
      <c r="K910" s="212"/>
      <c r="L910" s="213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  <c r="AK910" s="75"/>
    </row>
    <row r="911">
      <c r="A911" s="75"/>
      <c r="B911" s="75"/>
      <c r="C911" s="75"/>
      <c r="D911" s="75"/>
      <c r="E911" s="75"/>
      <c r="F911" s="75"/>
      <c r="G911" s="208"/>
      <c r="H911" s="209"/>
      <c r="I911" s="210"/>
      <c r="J911" s="211"/>
      <c r="K911" s="212"/>
      <c r="L911" s="213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  <c r="AK911" s="75"/>
    </row>
    <row r="912">
      <c r="A912" s="75"/>
      <c r="B912" s="75"/>
      <c r="C912" s="75"/>
      <c r="D912" s="75"/>
      <c r="E912" s="75"/>
      <c r="F912" s="75"/>
      <c r="G912" s="208"/>
      <c r="H912" s="209"/>
      <c r="I912" s="210"/>
      <c r="J912" s="211"/>
      <c r="K912" s="212"/>
      <c r="L912" s="213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  <c r="AK912" s="75"/>
    </row>
    <row r="913">
      <c r="A913" s="75"/>
      <c r="B913" s="75"/>
      <c r="C913" s="75"/>
      <c r="D913" s="75"/>
      <c r="E913" s="75"/>
      <c r="F913" s="75"/>
      <c r="G913" s="208"/>
      <c r="H913" s="209"/>
      <c r="I913" s="210"/>
      <c r="J913" s="211"/>
      <c r="K913" s="212"/>
      <c r="L913" s="213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  <c r="AK913" s="75"/>
    </row>
    <row r="914">
      <c r="A914" s="75"/>
      <c r="B914" s="75"/>
      <c r="C914" s="75"/>
      <c r="D914" s="75"/>
      <c r="E914" s="75"/>
      <c r="F914" s="75"/>
      <c r="G914" s="208"/>
      <c r="H914" s="209"/>
      <c r="I914" s="210"/>
      <c r="J914" s="211"/>
      <c r="K914" s="212"/>
      <c r="L914" s="213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</row>
    <row r="915">
      <c r="A915" s="75"/>
      <c r="B915" s="75"/>
      <c r="C915" s="75"/>
      <c r="D915" s="75"/>
      <c r="E915" s="75"/>
      <c r="F915" s="75"/>
      <c r="G915" s="208"/>
      <c r="H915" s="209"/>
      <c r="I915" s="210"/>
      <c r="J915" s="211"/>
      <c r="K915" s="212"/>
      <c r="L915" s="213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  <c r="AK915" s="75"/>
    </row>
    <row r="916">
      <c r="A916" s="75"/>
      <c r="B916" s="75"/>
      <c r="C916" s="75"/>
      <c r="D916" s="75"/>
      <c r="E916" s="75"/>
      <c r="F916" s="75"/>
      <c r="G916" s="208"/>
      <c r="H916" s="209"/>
      <c r="I916" s="210"/>
      <c r="J916" s="211"/>
      <c r="K916" s="212"/>
      <c r="L916" s="213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</row>
    <row r="917">
      <c r="A917" s="75"/>
      <c r="B917" s="75"/>
      <c r="C917" s="75"/>
      <c r="D917" s="75"/>
      <c r="E917" s="75"/>
      <c r="F917" s="75"/>
      <c r="G917" s="208"/>
      <c r="H917" s="209"/>
      <c r="I917" s="210"/>
      <c r="J917" s="211"/>
      <c r="K917" s="212"/>
      <c r="L917" s="213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  <c r="AK917" s="75"/>
    </row>
    <row r="918">
      <c r="A918" s="75"/>
      <c r="B918" s="75"/>
      <c r="C918" s="75"/>
      <c r="D918" s="75"/>
      <c r="E918" s="75"/>
      <c r="F918" s="75"/>
      <c r="G918" s="208"/>
      <c r="H918" s="209"/>
      <c r="I918" s="210"/>
      <c r="J918" s="211"/>
      <c r="K918" s="212"/>
      <c r="L918" s="213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  <c r="AK918" s="75"/>
    </row>
    <row r="919">
      <c r="A919" s="75"/>
      <c r="B919" s="75"/>
      <c r="C919" s="75"/>
      <c r="D919" s="75"/>
      <c r="E919" s="75"/>
      <c r="F919" s="75"/>
      <c r="G919" s="208"/>
      <c r="H919" s="209"/>
      <c r="I919" s="210"/>
      <c r="J919" s="211"/>
      <c r="K919" s="212"/>
      <c r="L919" s="213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  <c r="AK919" s="75"/>
    </row>
    <row r="920">
      <c r="A920" s="75"/>
      <c r="B920" s="75"/>
      <c r="C920" s="75"/>
      <c r="D920" s="75"/>
      <c r="E920" s="75"/>
      <c r="F920" s="75"/>
      <c r="G920" s="208"/>
      <c r="H920" s="209"/>
      <c r="I920" s="210"/>
      <c r="J920" s="211"/>
      <c r="K920" s="212"/>
      <c r="L920" s="213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  <c r="AK920" s="75"/>
    </row>
    <row r="921">
      <c r="A921" s="75"/>
      <c r="B921" s="75"/>
      <c r="C921" s="75"/>
      <c r="D921" s="75"/>
      <c r="E921" s="75"/>
      <c r="F921" s="75"/>
      <c r="G921" s="208"/>
      <c r="H921" s="209"/>
      <c r="I921" s="210"/>
      <c r="J921" s="211"/>
      <c r="K921" s="212"/>
      <c r="L921" s="213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  <c r="AK921" s="75"/>
    </row>
    <row r="922">
      <c r="A922" s="75"/>
      <c r="B922" s="75"/>
      <c r="C922" s="75"/>
      <c r="D922" s="75"/>
      <c r="E922" s="75"/>
      <c r="F922" s="75"/>
      <c r="G922" s="208"/>
      <c r="H922" s="209"/>
      <c r="I922" s="210"/>
      <c r="J922" s="211"/>
      <c r="K922" s="212"/>
      <c r="L922" s="213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  <c r="AK922" s="75"/>
    </row>
    <row r="923">
      <c r="A923" s="75"/>
      <c r="B923" s="75"/>
      <c r="C923" s="75"/>
      <c r="D923" s="75"/>
      <c r="E923" s="75"/>
      <c r="F923" s="75"/>
      <c r="G923" s="208"/>
      <c r="H923" s="209"/>
      <c r="I923" s="210"/>
      <c r="J923" s="211"/>
      <c r="K923" s="212"/>
      <c r="L923" s="213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  <c r="AK923" s="75"/>
    </row>
    <row r="924">
      <c r="A924" s="75"/>
      <c r="B924" s="75"/>
      <c r="C924" s="75"/>
      <c r="D924" s="75"/>
      <c r="E924" s="75"/>
      <c r="F924" s="75"/>
      <c r="G924" s="208"/>
      <c r="H924" s="209"/>
      <c r="I924" s="210"/>
      <c r="J924" s="211"/>
      <c r="K924" s="212"/>
      <c r="L924" s="213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  <c r="AK924" s="75"/>
    </row>
    <row r="925">
      <c r="A925" s="75"/>
      <c r="B925" s="75"/>
      <c r="C925" s="75"/>
      <c r="D925" s="75"/>
      <c r="E925" s="75"/>
      <c r="F925" s="75"/>
      <c r="G925" s="208"/>
      <c r="H925" s="209"/>
      <c r="I925" s="210"/>
      <c r="J925" s="211"/>
      <c r="K925" s="212"/>
      <c r="L925" s="213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  <c r="AK925" s="75"/>
    </row>
    <row r="926">
      <c r="A926" s="75"/>
      <c r="B926" s="75"/>
      <c r="C926" s="75"/>
      <c r="D926" s="75"/>
      <c r="E926" s="75"/>
      <c r="F926" s="75"/>
      <c r="G926" s="208"/>
      <c r="H926" s="209"/>
      <c r="I926" s="210"/>
      <c r="J926" s="211"/>
      <c r="K926" s="212"/>
      <c r="L926" s="213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  <c r="AK926" s="75"/>
    </row>
    <row r="927">
      <c r="A927" s="75"/>
      <c r="B927" s="75"/>
      <c r="C927" s="75"/>
      <c r="D927" s="75"/>
      <c r="E927" s="75"/>
      <c r="F927" s="75"/>
      <c r="G927" s="208"/>
      <c r="H927" s="209"/>
      <c r="I927" s="210"/>
      <c r="J927" s="211"/>
      <c r="K927" s="212"/>
      <c r="L927" s="213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  <c r="AK927" s="75"/>
    </row>
    <row r="928">
      <c r="A928" s="75"/>
      <c r="B928" s="75"/>
      <c r="C928" s="75"/>
      <c r="D928" s="75"/>
      <c r="E928" s="75"/>
      <c r="F928" s="75"/>
      <c r="G928" s="208"/>
      <c r="H928" s="209"/>
      <c r="I928" s="210"/>
      <c r="J928" s="211"/>
      <c r="K928" s="212"/>
      <c r="L928" s="213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  <c r="AK928" s="75"/>
    </row>
    <row r="929">
      <c r="A929" s="75"/>
      <c r="B929" s="75"/>
      <c r="C929" s="75"/>
      <c r="D929" s="75"/>
      <c r="E929" s="75"/>
      <c r="F929" s="75"/>
      <c r="G929" s="208"/>
      <c r="H929" s="209"/>
      <c r="I929" s="210"/>
      <c r="J929" s="211"/>
      <c r="K929" s="212"/>
      <c r="L929" s="213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  <c r="AK929" s="75"/>
    </row>
    <row r="930">
      <c r="A930" s="75"/>
      <c r="B930" s="75"/>
      <c r="C930" s="75"/>
      <c r="D930" s="75"/>
      <c r="E930" s="75"/>
      <c r="F930" s="75"/>
      <c r="G930" s="208"/>
      <c r="H930" s="209"/>
      <c r="I930" s="210"/>
      <c r="J930" s="211"/>
      <c r="K930" s="212"/>
      <c r="L930" s="213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  <c r="AK930" s="75"/>
    </row>
    <row r="931">
      <c r="A931" s="75"/>
      <c r="B931" s="75"/>
      <c r="C931" s="75"/>
      <c r="D931" s="75"/>
      <c r="E931" s="75"/>
      <c r="F931" s="75"/>
      <c r="G931" s="208"/>
      <c r="H931" s="209"/>
      <c r="I931" s="210"/>
      <c r="J931" s="211"/>
      <c r="K931" s="212"/>
      <c r="L931" s="213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  <c r="AK931" s="75"/>
    </row>
    <row r="932">
      <c r="A932" s="75"/>
      <c r="B932" s="75"/>
      <c r="C932" s="75"/>
      <c r="D932" s="75"/>
      <c r="E932" s="75"/>
      <c r="F932" s="75"/>
      <c r="G932" s="208"/>
      <c r="H932" s="209"/>
      <c r="I932" s="210"/>
      <c r="J932" s="211"/>
      <c r="K932" s="212"/>
      <c r="L932" s="213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  <c r="AK932" s="75"/>
    </row>
    <row r="933">
      <c r="A933" s="75"/>
      <c r="B933" s="75"/>
      <c r="C933" s="75"/>
      <c r="D933" s="75"/>
      <c r="E933" s="75"/>
      <c r="F933" s="75"/>
      <c r="G933" s="208"/>
      <c r="H933" s="209"/>
      <c r="I933" s="210"/>
      <c r="J933" s="211"/>
      <c r="K933" s="212"/>
      <c r="L933" s="213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  <c r="AK933" s="75"/>
    </row>
    <row r="934">
      <c r="A934" s="75"/>
      <c r="B934" s="75"/>
      <c r="C934" s="75"/>
      <c r="D934" s="75"/>
      <c r="E934" s="75"/>
      <c r="F934" s="75"/>
      <c r="G934" s="208"/>
      <c r="H934" s="209"/>
      <c r="I934" s="210"/>
      <c r="J934" s="211"/>
      <c r="K934" s="212"/>
      <c r="L934" s="213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</row>
    <row r="935">
      <c r="A935" s="75"/>
      <c r="B935" s="75"/>
      <c r="C935" s="75"/>
      <c r="D935" s="75"/>
      <c r="E935" s="75"/>
      <c r="F935" s="75"/>
      <c r="G935" s="208"/>
      <c r="H935" s="209"/>
      <c r="I935" s="210"/>
      <c r="J935" s="211"/>
      <c r="K935" s="212"/>
      <c r="L935" s="213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  <c r="AK935" s="75"/>
    </row>
    <row r="936">
      <c r="A936" s="75"/>
      <c r="B936" s="75"/>
      <c r="C936" s="75"/>
      <c r="D936" s="75"/>
      <c r="E936" s="75"/>
      <c r="F936" s="75"/>
      <c r="G936" s="208"/>
      <c r="H936" s="209"/>
      <c r="I936" s="210"/>
      <c r="J936" s="211"/>
      <c r="K936" s="212"/>
      <c r="L936" s="213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  <c r="AK936" s="75"/>
    </row>
    <row r="937">
      <c r="A937" s="75"/>
      <c r="B937" s="75"/>
      <c r="C937" s="75"/>
      <c r="D937" s="75"/>
      <c r="E937" s="75"/>
      <c r="F937" s="75"/>
      <c r="G937" s="208"/>
      <c r="H937" s="209"/>
      <c r="I937" s="210"/>
      <c r="J937" s="211"/>
      <c r="K937" s="212"/>
      <c r="L937" s="213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  <c r="AK937" s="75"/>
    </row>
    <row r="938">
      <c r="A938" s="75"/>
      <c r="B938" s="75"/>
      <c r="C938" s="75"/>
      <c r="D938" s="75"/>
      <c r="E938" s="75"/>
      <c r="F938" s="75"/>
      <c r="G938" s="208"/>
      <c r="H938" s="209"/>
      <c r="I938" s="210"/>
      <c r="J938" s="211"/>
      <c r="K938" s="212"/>
      <c r="L938" s="213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  <c r="AK938" s="75"/>
    </row>
    <row r="939">
      <c r="A939" s="75"/>
      <c r="B939" s="75"/>
      <c r="C939" s="75"/>
      <c r="D939" s="75"/>
      <c r="E939" s="75"/>
      <c r="F939" s="75"/>
      <c r="G939" s="208"/>
      <c r="H939" s="209"/>
      <c r="I939" s="210"/>
      <c r="J939" s="211"/>
      <c r="K939" s="212"/>
      <c r="L939" s="213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  <c r="AK939" s="75"/>
    </row>
    <row r="940">
      <c r="A940" s="75"/>
      <c r="B940" s="75"/>
      <c r="C940" s="75"/>
      <c r="D940" s="75"/>
      <c r="E940" s="75"/>
      <c r="F940" s="75"/>
      <c r="G940" s="208"/>
      <c r="H940" s="209"/>
      <c r="I940" s="210"/>
      <c r="J940" s="211"/>
      <c r="K940" s="212"/>
      <c r="L940" s="213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  <c r="AK940" s="75"/>
    </row>
    <row r="941">
      <c r="A941" s="75"/>
      <c r="B941" s="75"/>
      <c r="C941" s="75"/>
      <c r="D941" s="75"/>
      <c r="E941" s="75"/>
      <c r="F941" s="75"/>
      <c r="G941" s="208"/>
      <c r="H941" s="209"/>
      <c r="I941" s="210"/>
      <c r="J941" s="211"/>
      <c r="K941" s="212"/>
      <c r="L941" s="213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  <c r="AK941" s="75"/>
    </row>
    <row r="942">
      <c r="A942" s="75"/>
      <c r="B942" s="75"/>
      <c r="C942" s="75"/>
      <c r="D942" s="75"/>
      <c r="E942" s="75"/>
      <c r="F942" s="75"/>
      <c r="G942" s="208"/>
      <c r="H942" s="209"/>
      <c r="I942" s="210"/>
      <c r="J942" s="211"/>
      <c r="K942" s="212"/>
      <c r="L942" s="213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  <c r="AK942" s="75"/>
    </row>
    <row r="943">
      <c r="A943" s="75"/>
      <c r="B943" s="75"/>
      <c r="C943" s="75"/>
      <c r="D943" s="75"/>
      <c r="E943" s="75"/>
      <c r="F943" s="75"/>
      <c r="G943" s="208"/>
      <c r="H943" s="209"/>
      <c r="I943" s="210"/>
      <c r="J943" s="211"/>
      <c r="K943" s="212"/>
      <c r="L943" s="213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  <c r="AK943" s="75"/>
    </row>
    <row r="944">
      <c r="A944" s="75"/>
      <c r="B944" s="75"/>
      <c r="C944" s="75"/>
      <c r="D944" s="75"/>
      <c r="E944" s="75"/>
      <c r="F944" s="75"/>
      <c r="G944" s="208"/>
      <c r="H944" s="209"/>
      <c r="I944" s="210"/>
      <c r="J944" s="211"/>
      <c r="K944" s="212"/>
      <c r="L944" s="213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  <c r="AK944" s="75"/>
    </row>
    <row r="945">
      <c r="A945" s="75"/>
      <c r="B945" s="75"/>
      <c r="C945" s="75"/>
      <c r="D945" s="75"/>
      <c r="E945" s="75"/>
      <c r="F945" s="75"/>
      <c r="G945" s="208"/>
      <c r="H945" s="209"/>
      <c r="I945" s="210"/>
      <c r="J945" s="211"/>
      <c r="K945" s="212"/>
      <c r="L945" s="213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  <c r="AK945" s="75"/>
    </row>
    <row r="946">
      <c r="A946" s="75"/>
      <c r="B946" s="75"/>
      <c r="C946" s="75"/>
      <c r="D946" s="75"/>
      <c r="E946" s="75"/>
      <c r="F946" s="75"/>
      <c r="G946" s="208"/>
      <c r="H946" s="209"/>
      <c r="I946" s="210"/>
      <c r="J946" s="211"/>
      <c r="K946" s="212"/>
      <c r="L946" s="213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  <c r="AK946" s="75"/>
    </row>
    <row r="947">
      <c r="A947" s="75"/>
      <c r="B947" s="75"/>
      <c r="C947" s="75"/>
      <c r="D947" s="75"/>
      <c r="E947" s="75"/>
      <c r="F947" s="75"/>
      <c r="G947" s="208"/>
      <c r="H947" s="209"/>
      <c r="I947" s="210"/>
      <c r="J947" s="211"/>
      <c r="K947" s="212"/>
      <c r="L947" s="213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  <c r="AK947" s="75"/>
    </row>
    <row r="948">
      <c r="A948" s="75"/>
      <c r="B948" s="75"/>
      <c r="C948" s="75"/>
      <c r="D948" s="75"/>
      <c r="E948" s="75"/>
      <c r="F948" s="75"/>
      <c r="G948" s="208"/>
      <c r="H948" s="209"/>
      <c r="I948" s="210"/>
      <c r="J948" s="211"/>
      <c r="K948" s="212"/>
      <c r="L948" s="213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  <c r="AK948" s="75"/>
    </row>
    <row r="949">
      <c r="A949" s="75"/>
      <c r="B949" s="75"/>
      <c r="C949" s="75"/>
      <c r="D949" s="75"/>
      <c r="E949" s="75"/>
      <c r="F949" s="75"/>
      <c r="G949" s="208"/>
      <c r="H949" s="209"/>
      <c r="I949" s="210"/>
      <c r="J949" s="211"/>
      <c r="K949" s="212"/>
      <c r="L949" s="213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  <c r="AK949" s="75"/>
    </row>
    <row r="950">
      <c r="A950" s="75"/>
      <c r="B950" s="75"/>
      <c r="C950" s="75"/>
      <c r="D950" s="75"/>
      <c r="E950" s="75"/>
      <c r="F950" s="75"/>
      <c r="G950" s="208"/>
      <c r="H950" s="209"/>
      <c r="I950" s="210"/>
      <c r="J950" s="211"/>
      <c r="K950" s="212"/>
      <c r="L950" s="213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  <c r="AK950" s="75"/>
    </row>
    <row r="951">
      <c r="A951" s="75"/>
      <c r="B951" s="75"/>
      <c r="C951" s="75"/>
      <c r="D951" s="75"/>
      <c r="E951" s="75"/>
      <c r="F951" s="75"/>
      <c r="G951" s="208"/>
      <c r="H951" s="209"/>
      <c r="I951" s="210"/>
      <c r="J951" s="211"/>
      <c r="K951" s="212"/>
      <c r="L951" s="213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  <c r="AK951" s="75"/>
    </row>
    <row r="952">
      <c r="A952" s="75"/>
      <c r="B952" s="75"/>
      <c r="C952" s="75"/>
      <c r="D952" s="75"/>
      <c r="E952" s="75"/>
      <c r="F952" s="75"/>
      <c r="G952" s="208"/>
      <c r="H952" s="209"/>
      <c r="I952" s="210"/>
      <c r="J952" s="211"/>
      <c r="K952" s="212"/>
      <c r="L952" s="213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</row>
    <row r="953">
      <c r="A953" s="75"/>
      <c r="B953" s="75"/>
      <c r="C953" s="75"/>
      <c r="D953" s="75"/>
      <c r="E953" s="75"/>
      <c r="F953" s="75"/>
      <c r="G953" s="208"/>
      <c r="H953" s="209"/>
      <c r="I953" s="210"/>
      <c r="J953" s="211"/>
      <c r="K953" s="212"/>
      <c r="L953" s="213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  <c r="AK953" s="75"/>
    </row>
    <row r="954">
      <c r="A954" s="75"/>
      <c r="B954" s="75"/>
      <c r="C954" s="75"/>
      <c r="D954" s="75"/>
      <c r="E954" s="75"/>
      <c r="F954" s="75"/>
      <c r="G954" s="208"/>
      <c r="H954" s="209"/>
      <c r="I954" s="210"/>
      <c r="J954" s="211"/>
      <c r="K954" s="212"/>
      <c r="L954" s="213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  <c r="AK954" s="75"/>
    </row>
    <row r="955">
      <c r="A955" s="75"/>
      <c r="B955" s="75"/>
      <c r="C955" s="75"/>
      <c r="D955" s="75"/>
      <c r="E955" s="75"/>
      <c r="F955" s="75"/>
      <c r="G955" s="208"/>
      <c r="H955" s="209"/>
      <c r="I955" s="210"/>
      <c r="J955" s="211"/>
      <c r="K955" s="212"/>
      <c r="L955" s="213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  <c r="AK955" s="75"/>
    </row>
    <row r="956">
      <c r="A956" s="75"/>
      <c r="B956" s="75"/>
      <c r="C956" s="75"/>
      <c r="D956" s="75"/>
      <c r="E956" s="75"/>
      <c r="F956" s="75"/>
      <c r="G956" s="208"/>
      <c r="H956" s="209"/>
      <c r="I956" s="210"/>
      <c r="J956" s="211"/>
      <c r="K956" s="212"/>
      <c r="L956" s="213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  <c r="AK956" s="75"/>
    </row>
    <row r="957">
      <c r="A957" s="75"/>
      <c r="B957" s="75"/>
      <c r="C957" s="75"/>
      <c r="D957" s="75"/>
      <c r="E957" s="75"/>
      <c r="F957" s="75"/>
      <c r="G957" s="208"/>
      <c r="H957" s="209"/>
      <c r="I957" s="210"/>
      <c r="J957" s="211"/>
      <c r="K957" s="212"/>
      <c r="L957" s="213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  <c r="AK957" s="75"/>
    </row>
    <row r="958">
      <c r="A958" s="75"/>
      <c r="B958" s="75"/>
      <c r="C958" s="75"/>
      <c r="D958" s="75"/>
      <c r="E958" s="75"/>
      <c r="F958" s="75"/>
      <c r="G958" s="208"/>
      <c r="H958" s="209"/>
      <c r="I958" s="210"/>
      <c r="J958" s="211"/>
      <c r="K958" s="212"/>
      <c r="L958" s="213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  <c r="AK958" s="75"/>
    </row>
    <row r="959">
      <c r="A959" s="75"/>
      <c r="B959" s="75"/>
      <c r="C959" s="75"/>
      <c r="D959" s="75"/>
      <c r="E959" s="75"/>
      <c r="F959" s="75"/>
      <c r="G959" s="208"/>
      <c r="H959" s="209"/>
      <c r="I959" s="210"/>
      <c r="J959" s="211"/>
      <c r="K959" s="212"/>
      <c r="L959" s="213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  <c r="AK959" s="75"/>
    </row>
    <row r="960">
      <c r="A960" s="75"/>
      <c r="B960" s="75"/>
      <c r="C960" s="75"/>
      <c r="D960" s="75"/>
      <c r="E960" s="75"/>
      <c r="F960" s="75"/>
      <c r="G960" s="208"/>
      <c r="H960" s="209"/>
      <c r="I960" s="210"/>
      <c r="J960" s="211"/>
      <c r="K960" s="212"/>
      <c r="L960" s="213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  <c r="AK960" s="75"/>
    </row>
    <row r="961">
      <c r="A961" s="75"/>
      <c r="B961" s="75"/>
      <c r="C961" s="75"/>
      <c r="D961" s="75"/>
      <c r="E961" s="75"/>
      <c r="F961" s="75"/>
      <c r="G961" s="208"/>
      <c r="H961" s="209"/>
      <c r="I961" s="210"/>
      <c r="J961" s="211"/>
      <c r="K961" s="212"/>
      <c r="L961" s="213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  <c r="AK961" s="75"/>
    </row>
    <row r="962">
      <c r="A962" s="75"/>
      <c r="B962" s="75"/>
      <c r="C962" s="75"/>
      <c r="D962" s="75"/>
      <c r="E962" s="75"/>
      <c r="F962" s="75"/>
      <c r="G962" s="208"/>
      <c r="H962" s="209"/>
      <c r="I962" s="210"/>
      <c r="J962" s="211"/>
      <c r="K962" s="212"/>
      <c r="L962" s="213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  <c r="AK962" s="75"/>
    </row>
    <row r="963">
      <c r="A963" s="75"/>
      <c r="B963" s="75"/>
      <c r="C963" s="75"/>
      <c r="D963" s="75"/>
      <c r="E963" s="75"/>
      <c r="F963" s="75"/>
      <c r="G963" s="208"/>
      <c r="H963" s="209"/>
      <c r="I963" s="210"/>
      <c r="J963" s="211"/>
      <c r="K963" s="212"/>
      <c r="L963" s="213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  <c r="AK963" s="75"/>
    </row>
    <row r="964">
      <c r="A964" s="75"/>
      <c r="B964" s="75"/>
      <c r="C964" s="75"/>
      <c r="D964" s="75"/>
      <c r="E964" s="75"/>
      <c r="F964" s="75"/>
      <c r="G964" s="208"/>
      <c r="H964" s="209"/>
      <c r="I964" s="210"/>
      <c r="J964" s="211"/>
      <c r="K964" s="212"/>
      <c r="L964" s="213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  <c r="AK964" s="75"/>
    </row>
    <row r="965">
      <c r="A965" s="75"/>
      <c r="B965" s="75"/>
      <c r="C965" s="75"/>
      <c r="D965" s="75"/>
      <c r="E965" s="75"/>
      <c r="F965" s="75"/>
      <c r="G965" s="208"/>
      <c r="H965" s="209"/>
      <c r="I965" s="210"/>
      <c r="J965" s="211"/>
      <c r="K965" s="212"/>
      <c r="L965" s="213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  <c r="AK965" s="75"/>
    </row>
    <row r="966">
      <c r="A966" s="75"/>
      <c r="B966" s="75"/>
      <c r="C966" s="75"/>
      <c r="D966" s="75"/>
      <c r="E966" s="75"/>
      <c r="F966" s="75"/>
      <c r="G966" s="208"/>
      <c r="H966" s="209"/>
      <c r="I966" s="210"/>
      <c r="J966" s="211"/>
      <c r="K966" s="212"/>
      <c r="L966" s="213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  <c r="AK966" s="75"/>
    </row>
    <row r="967">
      <c r="A967" s="75"/>
      <c r="B967" s="75"/>
      <c r="C967" s="75"/>
      <c r="D967" s="75"/>
      <c r="E967" s="75"/>
      <c r="F967" s="75"/>
      <c r="G967" s="208"/>
      <c r="H967" s="209"/>
      <c r="I967" s="210"/>
      <c r="J967" s="211"/>
      <c r="K967" s="212"/>
      <c r="L967" s="213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  <c r="AK967" s="75"/>
    </row>
    <row r="968">
      <c r="A968" s="75"/>
      <c r="B968" s="75"/>
      <c r="C968" s="75"/>
      <c r="D968" s="75"/>
      <c r="E968" s="75"/>
      <c r="F968" s="75"/>
      <c r="G968" s="208"/>
      <c r="H968" s="209"/>
      <c r="I968" s="210"/>
      <c r="J968" s="211"/>
      <c r="K968" s="212"/>
      <c r="L968" s="213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  <c r="AK968" s="75"/>
    </row>
    <row r="969">
      <c r="A969" s="75"/>
      <c r="B969" s="75"/>
      <c r="C969" s="75"/>
      <c r="D969" s="75"/>
      <c r="E969" s="75"/>
      <c r="F969" s="75"/>
      <c r="G969" s="208"/>
      <c r="H969" s="209"/>
      <c r="I969" s="210"/>
      <c r="J969" s="211"/>
      <c r="K969" s="212"/>
      <c r="L969" s="213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  <c r="AK969" s="75"/>
    </row>
    <row r="970">
      <c r="A970" s="75"/>
      <c r="B970" s="75"/>
      <c r="C970" s="75"/>
      <c r="D970" s="75"/>
      <c r="E970" s="75"/>
      <c r="F970" s="75"/>
      <c r="G970" s="208"/>
      <c r="H970" s="209"/>
      <c r="I970" s="210"/>
      <c r="J970" s="211"/>
      <c r="K970" s="212"/>
      <c r="L970" s="213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</row>
    <row r="971">
      <c r="A971" s="75"/>
      <c r="B971" s="75"/>
      <c r="C971" s="75"/>
      <c r="D971" s="75"/>
      <c r="E971" s="75"/>
      <c r="F971" s="75"/>
      <c r="G971" s="208"/>
      <c r="H971" s="209"/>
      <c r="I971" s="210"/>
      <c r="J971" s="211"/>
      <c r="K971" s="212"/>
      <c r="L971" s="213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  <c r="AK971" s="75"/>
    </row>
    <row r="972">
      <c r="A972" s="75"/>
      <c r="B972" s="75"/>
      <c r="C972" s="75"/>
      <c r="D972" s="75"/>
      <c r="E972" s="75"/>
      <c r="F972" s="75"/>
      <c r="G972" s="208"/>
      <c r="H972" s="209"/>
      <c r="I972" s="210"/>
      <c r="J972" s="211"/>
      <c r="K972" s="212"/>
      <c r="L972" s="213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  <c r="AK972" s="75"/>
    </row>
    <row r="973">
      <c r="A973" s="75"/>
      <c r="B973" s="75"/>
      <c r="C973" s="75"/>
      <c r="D973" s="75"/>
      <c r="E973" s="75"/>
      <c r="F973" s="75"/>
      <c r="G973" s="208"/>
      <c r="H973" s="209"/>
      <c r="I973" s="210"/>
      <c r="J973" s="211"/>
      <c r="K973" s="212"/>
      <c r="L973" s="213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  <c r="AK973" s="75"/>
    </row>
    <row r="974">
      <c r="A974" s="75"/>
      <c r="B974" s="75"/>
      <c r="C974" s="75"/>
      <c r="D974" s="75"/>
      <c r="E974" s="75"/>
      <c r="F974" s="75"/>
      <c r="G974" s="208"/>
      <c r="H974" s="209"/>
      <c r="I974" s="210"/>
      <c r="J974" s="211"/>
      <c r="K974" s="212"/>
      <c r="L974" s="213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  <c r="AK974" s="75"/>
    </row>
    <row r="975">
      <c r="A975" s="75"/>
      <c r="B975" s="75"/>
      <c r="C975" s="75"/>
      <c r="D975" s="75"/>
      <c r="E975" s="75"/>
      <c r="F975" s="75"/>
      <c r="G975" s="208"/>
      <c r="H975" s="209"/>
      <c r="I975" s="210"/>
      <c r="J975" s="211"/>
      <c r="K975" s="212"/>
      <c r="L975" s="213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  <c r="AK975" s="75"/>
    </row>
    <row r="976">
      <c r="A976" s="75"/>
      <c r="B976" s="75"/>
      <c r="C976" s="75"/>
      <c r="D976" s="75"/>
      <c r="E976" s="75"/>
      <c r="F976" s="75"/>
      <c r="G976" s="208"/>
      <c r="H976" s="209"/>
      <c r="I976" s="210"/>
      <c r="J976" s="211"/>
      <c r="K976" s="212"/>
      <c r="L976" s="213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  <c r="AK976" s="75"/>
    </row>
    <row r="977">
      <c r="A977" s="75"/>
      <c r="B977" s="75"/>
      <c r="C977" s="75"/>
      <c r="D977" s="75"/>
      <c r="E977" s="75"/>
      <c r="F977" s="75"/>
      <c r="G977" s="208"/>
      <c r="H977" s="209"/>
      <c r="I977" s="210"/>
      <c r="J977" s="211"/>
      <c r="K977" s="212"/>
      <c r="L977" s="213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  <c r="AK977" s="75"/>
    </row>
    <row r="978">
      <c r="A978" s="75"/>
      <c r="B978" s="75"/>
      <c r="C978" s="75"/>
      <c r="D978" s="75"/>
      <c r="E978" s="75"/>
      <c r="F978" s="75"/>
      <c r="G978" s="208"/>
      <c r="H978" s="209"/>
      <c r="I978" s="210"/>
      <c r="J978" s="211"/>
      <c r="K978" s="212"/>
      <c r="L978" s="213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  <c r="AK978" s="75"/>
    </row>
    <row r="979">
      <c r="A979" s="75"/>
      <c r="B979" s="75"/>
      <c r="C979" s="75"/>
      <c r="D979" s="75"/>
      <c r="E979" s="75"/>
      <c r="F979" s="75"/>
      <c r="G979" s="208"/>
      <c r="H979" s="209"/>
      <c r="I979" s="210"/>
      <c r="J979" s="211"/>
      <c r="K979" s="212"/>
      <c r="L979" s="213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  <c r="AK979" s="75"/>
    </row>
    <row r="980">
      <c r="A980" s="75"/>
      <c r="B980" s="75"/>
      <c r="C980" s="75"/>
      <c r="D980" s="75"/>
      <c r="E980" s="75"/>
      <c r="F980" s="75"/>
      <c r="G980" s="208"/>
      <c r="H980" s="209"/>
      <c r="I980" s="210"/>
      <c r="J980" s="211"/>
      <c r="K980" s="212"/>
      <c r="L980" s="213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  <c r="AK980" s="75"/>
    </row>
    <row r="981">
      <c r="A981" s="75"/>
      <c r="B981" s="75"/>
      <c r="C981" s="75"/>
      <c r="D981" s="75"/>
      <c r="E981" s="75"/>
      <c r="F981" s="75"/>
      <c r="G981" s="208"/>
      <c r="H981" s="209"/>
      <c r="I981" s="210"/>
      <c r="J981" s="211"/>
      <c r="K981" s="212"/>
      <c r="L981" s="213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  <c r="AK981" s="75"/>
    </row>
    <row r="982">
      <c r="A982" s="75"/>
      <c r="B982" s="75"/>
      <c r="C982" s="75"/>
      <c r="D982" s="75"/>
      <c r="E982" s="75"/>
      <c r="F982" s="75"/>
      <c r="G982" s="208"/>
      <c r="H982" s="209"/>
      <c r="I982" s="210"/>
      <c r="J982" s="211"/>
      <c r="K982" s="212"/>
      <c r="L982" s="213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  <c r="AK982" s="75"/>
    </row>
    <row r="983">
      <c r="A983" s="75"/>
      <c r="B983" s="75"/>
      <c r="C983" s="75"/>
      <c r="D983" s="75"/>
      <c r="E983" s="75"/>
      <c r="F983" s="75"/>
      <c r="G983" s="208"/>
      <c r="H983" s="209"/>
      <c r="I983" s="210"/>
      <c r="J983" s="211"/>
      <c r="K983" s="212"/>
      <c r="L983" s="213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  <c r="AK983" s="75"/>
    </row>
    <row r="984">
      <c r="A984" s="75"/>
      <c r="B984" s="75"/>
      <c r="C984" s="75"/>
      <c r="D984" s="75"/>
      <c r="E984" s="75"/>
      <c r="F984" s="75"/>
      <c r="G984" s="208"/>
      <c r="H984" s="209"/>
      <c r="I984" s="210"/>
      <c r="J984" s="211"/>
      <c r="K984" s="212"/>
      <c r="L984" s="213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  <c r="AK984" s="75"/>
    </row>
    <row r="985">
      <c r="A985" s="75"/>
      <c r="B985" s="75"/>
      <c r="C985" s="75"/>
      <c r="D985" s="75"/>
      <c r="E985" s="75"/>
      <c r="F985" s="75"/>
      <c r="G985" s="208"/>
      <c r="H985" s="209"/>
      <c r="I985" s="210"/>
      <c r="J985" s="211"/>
      <c r="K985" s="212"/>
      <c r="L985" s="213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  <c r="AF985" s="75"/>
      <c r="AG985" s="75"/>
      <c r="AH985" s="75"/>
      <c r="AI985" s="75"/>
      <c r="AJ985" s="75"/>
      <c r="AK985" s="75"/>
    </row>
    <row r="986">
      <c r="A986" s="75"/>
      <c r="B986" s="75"/>
      <c r="C986" s="75"/>
      <c r="D986" s="75"/>
      <c r="E986" s="75"/>
      <c r="F986" s="75"/>
      <c r="G986" s="208"/>
      <c r="H986" s="209"/>
      <c r="I986" s="210"/>
      <c r="J986" s="211"/>
      <c r="K986" s="212"/>
      <c r="L986" s="213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  <c r="AF986" s="75"/>
      <c r="AG986" s="75"/>
      <c r="AH986" s="75"/>
      <c r="AI986" s="75"/>
      <c r="AJ986" s="75"/>
      <c r="AK986" s="75"/>
    </row>
    <row r="987">
      <c r="A987" s="75"/>
      <c r="B987" s="75"/>
      <c r="C987" s="75"/>
      <c r="D987" s="75"/>
      <c r="E987" s="75"/>
      <c r="F987" s="75"/>
      <c r="G987" s="208"/>
      <c r="H987" s="209"/>
      <c r="I987" s="210"/>
      <c r="J987" s="211"/>
      <c r="K987" s="212"/>
      <c r="L987" s="213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  <c r="AF987" s="75"/>
      <c r="AG987" s="75"/>
      <c r="AH987" s="75"/>
      <c r="AI987" s="75"/>
      <c r="AJ987" s="75"/>
      <c r="AK987" s="75"/>
    </row>
    <row r="988">
      <c r="A988" s="75"/>
      <c r="B988" s="75"/>
      <c r="C988" s="75"/>
      <c r="D988" s="75"/>
      <c r="E988" s="75"/>
      <c r="F988" s="75"/>
      <c r="G988" s="208"/>
      <c r="H988" s="209"/>
      <c r="I988" s="210"/>
      <c r="J988" s="211"/>
      <c r="K988" s="212"/>
      <c r="L988" s="213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</row>
    <row r="989">
      <c r="A989" s="75"/>
      <c r="B989" s="75"/>
      <c r="C989" s="75"/>
      <c r="D989" s="75"/>
      <c r="E989" s="75"/>
      <c r="F989" s="75"/>
      <c r="G989" s="208"/>
      <c r="H989" s="209"/>
      <c r="I989" s="210"/>
      <c r="J989" s="211"/>
      <c r="K989" s="212"/>
      <c r="L989" s="213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  <c r="AF989" s="75"/>
      <c r="AG989" s="75"/>
      <c r="AH989" s="75"/>
      <c r="AI989" s="75"/>
      <c r="AJ989" s="75"/>
      <c r="AK989" s="75"/>
    </row>
    <row r="990">
      <c r="A990" s="75"/>
      <c r="B990" s="75"/>
      <c r="C990" s="75"/>
      <c r="D990" s="75"/>
      <c r="E990" s="75"/>
      <c r="F990" s="75"/>
      <c r="G990" s="208"/>
      <c r="H990" s="209"/>
      <c r="I990" s="210"/>
      <c r="J990" s="211"/>
      <c r="K990" s="212"/>
      <c r="L990" s="213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  <c r="AF990" s="75"/>
      <c r="AG990" s="75"/>
      <c r="AH990" s="75"/>
      <c r="AI990" s="75"/>
      <c r="AJ990" s="75"/>
      <c r="AK990" s="75"/>
    </row>
    <row r="991">
      <c r="A991" s="75"/>
      <c r="B991" s="75"/>
      <c r="C991" s="75"/>
      <c r="D991" s="75"/>
      <c r="E991" s="75"/>
      <c r="F991" s="75"/>
      <c r="G991" s="208"/>
      <c r="H991" s="209"/>
      <c r="I991" s="210"/>
      <c r="J991" s="211"/>
      <c r="K991" s="212"/>
      <c r="L991" s="213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  <c r="AF991" s="75"/>
      <c r="AG991" s="75"/>
      <c r="AH991" s="75"/>
      <c r="AI991" s="75"/>
      <c r="AJ991" s="75"/>
      <c r="AK991" s="75"/>
    </row>
    <row r="992">
      <c r="A992" s="75"/>
      <c r="B992" s="75"/>
      <c r="C992" s="75"/>
      <c r="D992" s="75"/>
      <c r="E992" s="75"/>
      <c r="F992" s="75"/>
      <c r="G992" s="208"/>
      <c r="H992" s="209"/>
      <c r="I992" s="210"/>
      <c r="J992" s="211"/>
      <c r="K992" s="212"/>
      <c r="L992" s="213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  <c r="AF992" s="75"/>
      <c r="AG992" s="75"/>
      <c r="AH992" s="75"/>
      <c r="AI992" s="75"/>
      <c r="AJ992" s="75"/>
      <c r="AK992" s="75"/>
    </row>
    <row r="993">
      <c r="A993" s="75"/>
      <c r="B993" s="75"/>
      <c r="C993" s="75"/>
      <c r="D993" s="75"/>
      <c r="E993" s="75"/>
      <c r="F993" s="75"/>
      <c r="G993" s="208"/>
      <c r="H993" s="209"/>
      <c r="I993" s="210"/>
      <c r="J993" s="211"/>
      <c r="K993" s="212"/>
      <c r="L993" s="213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  <c r="AF993" s="75"/>
      <c r="AG993" s="75"/>
      <c r="AH993" s="75"/>
      <c r="AI993" s="75"/>
      <c r="AJ993" s="75"/>
      <c r="AK993" s="75"/>
    </row>
    <row r="994">
      <c r="A994" s="75"/>
      <c r="B994" s="75"/>
      <c r="C994" s="75"/>
      <c r="D994" s="75"/>
      <c r="E994" s="75"/>
      <c r="F994" s="75"/>
      <c r="G994" s="208"/>
      <c r="H994" s="209"/>
      <c r="I994" s="210"/>
      <c r="J994" s="211"/>
      <c r="K994" s="212"/>
      <c r="L994" s="213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  <c r="AF994" s="75"/>
      <c r="AG994" s="75"/>
      <c r="AH994" s="75"/>
      <c r="AI994" s="75"/>
      <c r="AJ994" s="75"/>
      <c r="AK994" s="75"/>
    </row>
    <row r="995">
      <c r="A995" s="75"/>
      <c r="B995" s="75"/>
      <c r="C995" s="75"/>
      <c r="D995" s="75"/>
      <c r="E995" s="75"/>
      <c r="F995" s="75"/>
      <c r="G995" s="208"/>
      <c r="H995" s="209"/>
      <c r="I995" s="210"/>
      <c r="J995" s="211"/>
      <c r="K995" s="212"/>
      <c r="L995" s="213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  <c r="AF995" s="75"/>
      <c r="AG995" s="75"/>
      <c r="AH995" s="75"/>
      <c r="AI995" s="75"/>
      <c r="AJ995" s="75"/>
      <c r="AK995" s="75"/>
    </row>
    <row r="996">
      <c r="A996" s="75"/>
      <c r="B996" s="75"/>
      <c r="C996" s="75"/>
      <c r="D996" s="75"/>
      <c r="E996" s="75"/>
      <c r="F996" s="75"/>
      <c r="G996" s="208"/>
      <c r="H996" s="209"/>
      <c r="I996" s="210"/>
      <c r="J996" s="211"/>
      <c r="K996" s="212"/>
      <c r="L996" s="213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  <c r="AF996" s="75"/>
      <c r="AG996" s="75"/>
      <c r="AH996" s="75"/>
      <c r="AI996" s="75"/>
      <c r="AJ996" s="75"/>
      <c r="AK996" s="75"/>
    </row>
    <row r="997">
      <c r="A997" s="75"/>
      <c r="B997" s="75"/>
      <c r="C997" s="75"/>
      <c r="D997" s="75"/>
      <c r="E997" s="75"/>
      <c r="F997" s="75"/>
      <c r="G997" s="208"/>
      <c r="H997" s="209"/>
      <c r="I997" s="210"/>
      <c r="J997" s="211"/>
      <c r="K997" s="212"/>
      <c r="L997" s="213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  <c r="AF997" s="75"/>
      <c r="AG997" s="75"/>
      <c r="AH997" s="75"/>
      <c r="AI997" s="75"/>
      <c r="AJ997" s="75"/>
      <c r="AK997" s="75"/>
    </row>
    <row r="998">
      <c r="A998" s="75"/>
      <c r="B998" s="75"/>
      <c r="C998" s="75"/>
      <c r="D998" s="75"/>
      <c r="E998" s="75"/>
      <c r="F998" s="75"/>
      <c r="G998" s="208"/>
      <c r="H998" s="209"/>
      <c r="I998" s="210"/>
      <c r="J998" s="211"/>
      <c r="K998" s="212"/>
      <c r="L998" s="213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  <c r="AF998" s="75"/>
      <c r="AG998" s="75"/>
      <c r="AH998" s="75"/>
      <c r="AI998" s="75"/>
      <c r="AJ998" s="75"/>
      <c r="AK998" s="75"/>
    </row>
    <row r="999">
      <c r="A999" s="75"/>
      <c r="B999" s="75"/>
      <c r="C999" s="75"/>
      <c r="D999" s="75"/>
      <c r="E999" s="75"/>
      <c r="F999" s="75"/>
      <c r="G999" s="208"/>
      <c r="H999" s="209"/>
      <c r="I999" s="210"/>
      <c r="J999" s="211"/>
      <c r="K999" s="212"/>
      <c r="L999" s="213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  <c r="AF999" s="75"/>
      <c r="AG999" s="75"/>
      <c r="AH999" s="75"/>
      <c r="AI999" s="75"/>
      <c r="AJ999" s="75"/>
      <c r="AK999" s="75"/>
    </row>
    <row r="1000">
      <c r="A1000" s="75"/>
      <c r="B1000" s="75"/>
      <c r="C1000" s="75"/>
      <c r="D1000" s="75"/>
      <c r="E1000" s="75"/>
      <c r="F1000" s="75"/>
      <c r="G1000" s="208"/>
      <c r="H1000" s="209"/>
      <c r="I1000" s="210"/>
      <c r="J1000" s="211"/>
      <c r="K1000" s="212"/>
      <c r="L1000" s="213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  <c r="AF1000" s="75"/>
      <c r="AG1000" s="75"/>
      <c r="AH1000" s="75"/>
      <c r="AI1000" s="75"/>
      <c r="AJ1000" s="75"/>
      <c r="AK1000" s="75"/>
    </row>
    <row r="1001">
      <c r="A1001" s="75"/>
      <c r="B1001" s="75"/>
      <c r="C1001" s="75"/>
      <c r="D1001" s="75"/>
      <c r="E1001" s="75"/>
      <c r="F1001" s="75"/>
      <c r="G1001" s="208"/>
      <c r="H1001" s="209"/>
      <c r="I1001" s="210"/>
      <c r="J1001" s="211"/>
      <c r="K1001" s="212"/>
      <c r="L1001" s="213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  <c r="AD1001" s="75"/>
      <c r="AE1001" s="75"/>
      <c r="AF1001" s="75"/>
      <c r="AG1001" s="75"/>
      <c r="AH1001" s="75"/>
      <c r="AI1001" s="75"/>
      <c r="AJ1001" s="75"/>
      <c r="AK1001" s="75"/>
    </row>
    <row r="1002">
      <c r="A1002" s="75"/>
      <c r="B1002" s="75"/>
      <c r="C1002" s="75"/>
      <c r="D1002" s="75"/>
      <c r="E1002" s="75"/>
      <c r="F1002" s="75"/>
      <c r="G1002" s="208"/>
      <c r="H1002" s="209"/>
      <c r="I1002" s="210"/>
      <c r="J1002" s="211"/>
      <c r="K1002" s="212"/>
      <c r="L1002" s="213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  <c r="AD1002" s="75"/>
      <c r="AE1002" s="75"/>
      <c r="AF1002" s="75"/>
      <c r="AG1002" s="75"/>
      <c r="AH1002" s="75"/>
      <c r="AI1002" s="75"/>
      <c r="AJ1002" s="75"/>
      <c r="AK1002" s="75"/>
    </row>
    <row r="1003">
      <c r="A1003" s="75"/>
      <c r="B1003" s="75"/>
      <c r="C1003" s="75"/>
      <c r="D1003" s="75"/>
      <c r="E1003" s="75"/>
      <c r="F1003" s="75"/>
      <c r="G1003" s="208"/>
      <c r="H1003" s="209"/>
      <c r="I1003" s="210"/>
      <c r="J1003" s="211"/>
      <c r="K1003" s="212"/>
      <c r="L1003" s="213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  <c r="AB1003" s="75"/>
      <c r="AC1003" s="75"/>
      <c r="AD1003" s="75"/>
      <c r="AE1003" s="75"/>
      <c r="AF1003" s="75"/>
      <c r="AG1003" s="75"/>
      <c r="AH1003" s="75"/>
      <c r="AI1003" s="75"/>
      <c r="AJ1003" s="75"/>
      <c r="AK1003" s="75"/>
    </row>
    <row r="1004">
      <c r="A1004" s="75"/>
      <c r="B1004" s="75"/>
      <c r="C1004" s="75"/>
      <c r="D1004" s="75"/>
      <c r="E1004" s="75"/>
      <c r="F1004" s="75"/>
      <c r="G1004" s="208"/>
      <c r="H1004" s="209"/>
      <c r="I1004" s="210"/>
      <c r="J1004" s="211"/>
      <c r="K1004" s="212"/>
      <c r="L1004" s="213"/>
      <c r="M1004" s="75"/>
      <c r="N1004" s="75"/>
      <c r="O1004" s="75"/>
      <c r="P1004" s="75"/>
      <c r="Q1004" s="75"/>
      <c r="R1004" s="75"/>
      <c r="S1004" s="75"/>
      <c r="T1004" s="75"/>
      <c r="U1004" s="75"/>
      <c r="V1004" s="75"/>
      <c r="W1004" s="75"/>
      <c r="X1004" s="75"/>
      <c r="Y1004" s="75"/>
      <c r="Z1004" s="75"/>
      <c r="AA1004" s="75"/>
      <c r="AB1004" s="75"/>
      <c r="AC1004" s="75"/>
      <c r="AD1004" s="75"/>
      <c r="AE1004" s="75"/>
      <c r="AF1004" s="75"/>
      <c r="AG1004" s="75"/>
      <c r="AH1004" s="75"/>
      <c r="AI1004" s="75"/>
      <c r="AJ1004" s="75"/>
      <c r="AK1004" s="75"/>
    </row>
    <row r="1005">
      <c r="A1005" s="75"/>
      <c r="B1005" s="75"/>
      <c r="C1005" s="75"/>
      <c r="D1005" s="75"/>
      <c r="E1005" s="75"/>
      <c r="F1005" s="75"/>
      <c r="G1005" s="208"/>
      <c r="H1005" s="209"/>
      <c r="I1005" s="210"/>
      <c r="J1005" s="211"/>
      <c r="K1005" s="212"/>
      <c r="L1005" s="213"/>
      <c r="M1005" s="75"/>
      <c r="N1005" s="75"/>
      <c r="O1005" s="75"/>
      <c r="P1005" s="75"/>
      <c r="Q1005" s="75"/>
      <c r="R1005" s="75"/>
      <c r="S1005" s="75"/>
      <c r="T1005" s="75"/>
      <c r="U1005" s="75"/>
      <c r="V1005" s="75"/>
      <c r="W1005" s="75"/>
      <c r="X1005" s="75"/>
      <c r="Y1005" s="75"/>
      <c r="Z1005" s="75"/>
      <c r="AA1005" s="75"/>
      <c r="AB1005" s="75"/>
      <c r="AC1005" s="75"/>
      <c r="AD1005" s="75"/>
      <c r="AE1005" s="75"/>
      <c r="AF1005" s="75"/>
      <c r="AG1005" s="75"/>
      <c r="AH1005" s="75"/>
      <c r="AI1005" s="75"/>
      <c r="AJ1005" s="75"/>
      <c r="AK1005" s="75"/>
    </row>
    <row r="1006">
      <c r="A1006" s="75"/>
      <c r="B1006" s="75"/>
      <c r="C1006" s="75"/>
      <c r="D1006" s="75"/>
      <c r="E1006" s="75"/>
      <c r="F1006" s="75"/>
      <c r="G1006" s="208"/>
      <c r="H1006" s="209"/>
      <c r="I1006" s="210"/>
      <c r="J1006" s="211"/>
      <c r="K1006" s="212"/>
      <c r="L1006" s="213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  <c r="AA1006" s="75"/>
      <c r="AB1006" s="75"/>
      <c r="AC1006" s="75"/>
      <c r="AD1006" s="75"/>
      <c r="AE1006" s="75"/>
      <c r="AF1006" s="75"/>
      <c r="AG1006" s="75"/>
      <c r="AH1006" s="75"/>
      <c r="AI1006" s="75"/>
      <c r="AJ1006" s="75"/>
      <c r="AK1006" s="75"/>
    </row>
    <row r="1007">
      <c r="A1007" s="75"/>
      <c r="B1007" s="75"/>
      <c r="C1007" s="75"/>
      <c r="D1007" s="75"/>
      <c r="E1007" s="75"/>
      <c r="F1007" s="75"/>
      <c r="G1007" s="208"/>
      <c r="H1007" s="209"/>
      <c r="I1007" s="210"/>
      <c r="J1007" s="211"/>
      <c r="K1007" s="212"/>
      <c r="L1007" s="213"/>
      <c r="M1007" s="75"/>
      <c r="N1007" s="75"/>
      <c r="O1007" s="75"/>
      <c r="P1007" s="75"/>
      <c r="Q1007" s="75"/>
      <c r="R1007" s="75"/>
      <c r="S1007" s="75"/>
      <c r="T1007" s="75"/>
      <c r="U1007" s="75"/>
      <c r="V1007" s="75"/>
      <c r="W1007" s="75"/>
      <c r="X1007" s="75"/>
      <c r="Y1007" s="75"/>
      <c r="Z1007" s="75"/>
      <c r="AA1007" s="75"/>
      <c r="AB1007" s="75"/>
      <c r="AC1007" s="75"/>
      <c r="AD1007" s="75"/>
      <c r="AE1007" s="75"/>
      <c r="AF1007" s="75"/>
      <c r="AG1007" s="75"/>
      <c r="AH1007" s="75"/>
      <c r="AI1007" s="75"/>
      <c r="AJ1007" s="75"/>
      <c r="AK1007" s="75"/>
    </row>
    <row r="1008">
      <c r="A1008" s="75"/>
      <c r="B1008" s="75"/>
      <c r="C1008" s="75"/>
      <c r="D1008" s="75"/>
      <c r="E1008" s="75"/>
      <c r="F1008" s="75"/>
      <c r="G1008" s="208"/>
      <c r="H1008" s="209"/>
      <c r="I1008" s="210"/>
      <c r="J1008" s="211"/>
      <c r="K1008" s="212"/>
      <c r="L1008" s="213"/>
      <c r="M1008" s="75"/>
      <c r="N1008" s="75"/>
      <c r="O1008" s="75"/>
      <c r="P1008" s="75"/>
      <c r="Q1008" s="75"/>
      <c r="R1008" s="75"/>
      <c r="S1008" s="75"/>
      <c r="T1008" s="75"/>
      <c r="U1008" s="75"/>
      <c r="V1008" s="75"/>
      <c r="W1008" s="75"/>
      <c r="X1008" s="75"/>
      <c r="Y1008" s="75"/>
      <c r="Z1008" s="75"/>
      <c r="AA1008" s="75"/>
      <c r="AB1008" s="75"/>
      <c r="AC1008" s="75"/>
      <c r="AD1008" s="75"/>
      <c r="AE1008" s="75"/>
      <c r="AF1008" s="75"/>
      <c r="AG1008" s="75"/>
      <c r="AH1008" s="75"/>
      <c r="AI1008" s="75"/>
      <c r="AJ1008" s="75"/>
      <c r="AK1008" s="75"/>
    </row>
    <row r="1009">
      <c r="A1009" s="75"/>
      <c r="B1009" s="75"/>
      <c r="C1009" s="75"/>
      <c r="D1009" s="75"/>
      <c r="E1009" s="75"/>
      <c r="F1009" s="75"/>
      <c r="G1009" s="208"/>
      <c r="H1009" s="209"/>
      <c r="I1009" s="210"/>
      <c r="J1009" s="211"/>
      <c r="K1009" s="212"/>
      <c r="L1009" s="213"/>
      <c r="M1009" s="75"/>
      <c r="N1009" s="75"/>
      <c r="O1009" s="75"/>
      <c r="P1009" s="75"/>
      <c r="Q1009" s="75"/>
      <c r="R1009" s="75"/>
      <c r="S1009" s="75"/>
      <c r="T1009" s="75"/>
      <c r="U1009" s="75"/>
      <c r="V1009" s="75"/>
      <c r="W1009" s="75"/>
      <c r="X1009" s="75"/>
      <c r="Y1009" s="75"/>
      <c r="Z1009" s="75"/>
      <c r="AA1009" s="75"/>
      <c r="AB1009" s="75"/>
      <c r="AC1009" s="75"/>
      <c r="AD1009" s="75"/>
      <c r="AE1009" s="75"/>
      <c r="AF1009" s="75"/>
      <c r="AG1009" s="75"/>
      <c r="AH1009" s="75"/>
      <c r="AI1009" s="75"/>
      <c r="AJ1009" s="75"/>
      <c r="AK1009" s="75"/>
    </row>
    <row r="1010">
      <c r="A1010" s="75"/>
      <c r="B1010" s="75"/>
      <c r="C1010" s="75"/>
      <c r="D1010" s="29"/>
      <c r="E1010" s="75"/>
      <c r="F1010" s="75"/>
      <c r="G1010" s="208"/>
      <c r="H1010" s="209"/>
      <c r="I1010" s="210"/>
      <c r="J1010" s="211"/>
      <c r="K1010" s="212"/>
      <c r="L1010" s="213"/>
      <c r="M1010" s="75"/>
      <c r="N1010" s="75"/>
      <c r="O1010" s="75"/>
      <c r="P1010" s="75"/>
      <c r="Q1010" s="75"/>
      <c r="R1010" s="75"/>
      <c r="S1010" s="75"/>
      <c r="T1010" s="75"/>
      <c r="U1010" s="75"/>
      <c r="V1010" s="75"/>
      <c r="W1010" s="75"/>
      <c r="X1010" s="75"/>
      <c r="Y1010" s="75"/>
      <c r="Z1010" s="75"/>
      <c r="AA1010" s="75"/>
      <c r="AB1010" s="75"/>
      <c r="AC1010" s="75"/>
      <c r="AD1010" s="75"/>
      <c r="AE1010" s="75"/>
      <c r="AF1010" s="75"/>
      <c r="AG1010" s="75"/>
      <c r="AH1010" s="75"/>
      <c r="AI1010" s="75"/>
      <c r="AJ1010" s="75"/>
      <c r="AK1010" s="75"/>
    </row>
  </sheetData>
  <autoFilter ref="$A$1:$AK$1010">
    <sortState ref="A1:AK1010">
      <sortCondition ref="D1:D1010"/>
      <sortCondition ref="C1:C1010"/>
    </sortState>
  </autoFilter>
  <customSheetViews>
    <customSheetView guid="{86CBC146-CBDC-459C-A0F4-0BCDD6ACFA63}" filter="1" showAutoFilter="1">
      <autoFilter ref="$B$1:$AH$519">
        <sortState ref="B1:AH519">
          <sortCondition ref="C1:C519"/>
        </sortState>
      </autoFilter>
    </customSheetView>
    <customSheetView guid="{071260A2-FCB6-4EFA-85B1-883DE6855503}" filter="1" showAutoFilter="1">
      <autoFilter ref="$B$1:$AH$1010">
        <sortState ref="B1:AH1010">
          <sortCondition ref="C1:C1010"/>
        </sortState>
      </autoFilter>
    </customSheetView>
    <customSheetView guid="{B21E7D45-C2F2-4ED9-A4FA-1FC2C4DF56BF}" filter="1" showAutoFilter="1">
      <autoFilter ref="$B$1:$AH$519">
        <sortState ref="B1:AH519">
          <sortCondition ref="C1:C519"/>
        </sortState>
      </autoFilter>
    </customSheetView>
  </customSheetViews>
  <drawing r:id="rId1"/>
</worksheet>
</file>